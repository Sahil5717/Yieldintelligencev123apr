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talog" sheetId="2" state="visible" r:id="rId4"/>
    <sheet name="Vertical applicability" sheetId="3" state="visible" r:id="rId5"/>
    <sheet name="Summary" sheetId="4" state="visible" r:id="rId6"/>
    <sheet name="Field reference" sheetId="5" state="visible" r:id="rId7"/>
    <sheet name="Schema reference" sheetId="6" state="visible" r:id="rId8"/>
  </sheets>
  <definedNames>
    <definedName function="false" hidden="true" localSheetId="1" name="_xlnm._FilterDatabase" vbProcedure="false">Catalog!$A$1:$AC$95</definedName>
    <definedName function="false" hidden="true" localSheetId="2" name="_xlnm._FilterDatabase" vbProcedure="false">'Vertical applicability'!$A$1:$G$95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<sst xmlns="http://schemas.openxmlformats.org/spreadsheetml/2006/main" count="2376" uniqueCount="1070">
  <si>
    <t xml:space="preserve">Yield Intelligence — Opportunity Catalog</t>
  </si>
  <si>
    <t xml:space="preserve">Purpose</t>
  </si>
  <si>
    <t xml:space="preserve">This is the comprehensive catalog of opportunity types Yield Intelligence can detect and recommend across customer engagements. It exists to: (1) define the universe of recommendations the product will generate, (2) provide a shared reference for product, design, and engineering teams, (3) ensure the product's intelligence layer is grounded in realistic strategic options.</t>
  </si>
  <si>
    <t xml:space="preserve">Coverage</t>
  </si>
  <si>
    <t xml:space="preserve">94 opportunities across 9 categories. Multi-vertical applicability (Retail / B2B SaaS / DTC / Services). Spans tactical day-to-day optimization through board-level strategic moves.</t>
  </si>
  <si>
    <t xml:space="preserve">How to use this document</t>
  </si>
  <si>
    <t xml:space="preserve">• Open the 'Catalog' sheet for the master list. All columns are filterable.</t>
  </si>
  <si>
    <t xml:space="preserve">• Use the 'Vertical applicability' sheet to filter opportunities by industry vertical.</t>
  </si>
  <si>
    <t xml:space="preserve">• Use the 'Summary' sheet to see distribution counts and identify gaps.</t>
  </si>
  <si>
    <t xml:space="preserve">• Use the 'Field reference' sheet to understand what each column means.</t>
  </si>
  <si>
    <t xml:space="preserve">• Update the 'Status' column to track team review (Proposed / Validated / Needs review / Cut).</t>
  </si>
  <si>
    <t xml:space="preserve">Categories</t>
  </si>
  <si>
    <t xml:space="preserve">1. Tactical — within-mix optimization (within-week execution, marketing ops level)</t>
  </si>
  <si>
    <t xml:space="preserve">2. Strategic-Channel — channel mix expansion (new channels, geos, segments, owned media)</t>
  </si>
  <si>
    <t xml:space="preserve">3. Strategic-Capability — capability/structural changes (in-housing, tech stack, org, process, data infrastructure)</t>
  </si>
  <si>
    <t xml:space="preserve">4. Strategic-Cost — vendor and cost optimization (agency, tools, programmatic, insourcing)</t>
  </si>
  <si>
    <t xml:space="preserve">5. Strategic-CX — customer experience and commerce (platform, checkout, personalization, loyalty)</t>
  </si>
  <si>
    <t xml:space="preserve">6. Strategic-Pricing — pricing and monetization (promo cadence, dynamic pricing, bundling)</t>
  </si>
  <si>
    <t xml:space="preserve">7. Strategic-Measurement — measurement and insights (incrementality, MMM, LTV, brand)</t>
  </si>
  <si>
    <t xml:space="preserve">8. Strategic-Content — content and SEO (editorial engine, technical SEO, programmatic content)</t>
  </si>
  <si>
    <t xml:space="preserve">9. Strategic-Meta — large-scale transformation (turnaround, M&amp;A integration, full transformation)</t>
  </si>
  <si>
    <t xml:space="preserve">10. Defensive — risk mitigation (privacy, cookieless, brand safety, vendor concentration)</t>
  </si>
  <si>
    <t xml:space="preserve">Magnitude bands</t>
  </si>
  <si>
    <t xml:space="preserve">S = under $50K typical impact</t>
  </si>
  <si>
    <t xml:space="preserve">M = $50K – $250K</t>
  </si>
  <si>
    <t xml:space="preserve">L = $250K – $1M</t>
  </si>
  <si>
    <t xml:space="preserve">XL = over $1M</t>
  </si>
  <si>
    <t xml:space="preserve">Confidence bands</t>
  </si>
  <si>
    <t xml:space="preserve">H = High (&gt;85% model confidence)</t>
  </si>
  <si>
    <t xml:space="preserve">M = Medium (70–85%)</t>
  </si>
  <si>
    <t xml:space="preserve">L = Low (&lt;70%) — typically because requires external assumptions or limited historical analogue</t>
  </si>
  <si>
    <t xml:space="preserve">Vertical fit</t>
  </si>
  <si>
    <t xml:space="preserve">Y = primary fit, applies directly</t>
  </si>
  <si>
    <t xml:space="preserve">P = partial fit, applies with adaptation</t>
  </si>
  <si>
    <t xml:space="preserve">N = does not apply / not relevant</t>
  </si>
  <si>
    <t xml:space="preserve">Reversibility</t>
  </si>
  <si>
    <t xml:space="preserve">H = High — can reverse within days, minimal sunk cost</t>
  </si>
  <si>
    <t xml:space="preserve">M = Medium — weeks/months to reverse, moderate sunk cost</t>
  </si>
  <si>
    <t xml:space="preserve">L = Low — multi-month commitment, significant sunk cost or contractual obligation</t>
  </si>
  <si>
    <t xml:space="preserve">Decision audience</t>
  </si>
  <si>
    <t xml:space="preserve">Marketing Ops — operational team executes</t>
  </si>
  <si>
    <t xml:space="preserve">Marketing Leadership — Director/VP level approval</t>
  </si>
  <si>
    <t xml:space="preserve">CMO — CMO sign-off required</t>
  </si>
  <si>
    <t xml:space="preserve">CFO — finance partnership required (cash, contracts)</t>
  </si>
  <si>
    <t xml:space="preserve">Board / CEO — board or CEO involvement (transformation, M&amp;A, crisis)</t>
  </si>
  <si>
    <t xml:space="preserve">Status workflow</t>
  </si>
  <si>
    <t xml:space="preserve">Proposed — Claude generated, awaiting team review</t>
  </si>
  <si>
    <t xml:space="preserve">Validated — team has confirmed, ready to build into product</t>
  </si>
  <si>
    <t xml:space="preserve">Needs review — team has flagged for discussion</t>
  </si>
  <si>
    <t xml:space="preserve">Cut — team has rejected from catalog with reason</t>
  </si>
  <si>
    <t xml:space="preserve">Open questions for team review</t>
  </si>
  <si>
    <t xml:space="preserve">• Are any opportunity types MISSING that the team would expect?</t>
  </si>
  <si>
    <t xml:space="preserve">• Are any opportunities here UNREALISTIC for the product's positioning?</t>
  </si>
  <si>
    <t xml:space="preserve">• Are the magnitude/confidence bands realistic for our typical customer?</t>
  </si>
  <si>
    <t xml:space="preserve">• Are the external signals listed defensible for what we'll actually have?</t>
  </si>
  <si>
    <t xml:space="preserve">• Should any vertical-fit ratings change?</t>
  </si>
  <si>
    <t xml:space="preserve">Schema extension (v2 — April 2026)</t>
  </si>
  <si>
    <t xml:space="preserve">This catalog has been extended with the channel-impact schema defined in the revamp design spec. Each opportunity now declares how it affects the marketing model so the Optimize screen can rigorously compose multiple opportunities into a modeled portfolio outcome.</t>
  </si>
  <si>
    <t xml:space="preserve">New columns:</t>
  </si>
  <si>
    <t xml:space="preserve">• Effects (JSON) — the typed effect(s) this opportunity has (spend_shift, curve_shift, new_channel, cost_reduction, cx_lift)</t>
  </si>
  <si>
    <t xml:space="preserve">• Impl one-time ($K) / Impl annual ($K) / Impl timing — implementation cost breakdown</t>
  </si>
  <si>
    <t xml:space="preserve">• Dependencies / Mutex with — coordination constraints with other opportunities</t>
  </si>
  <si>
    <t xml:space="preserve">• Requires signals — which external signal IDs this opportunity relies on</t>
  </si>
  <si>
    <t xml:space="preserve">• Schema review status — how confident the auto-generated spec is (auto-high / auto-medium / auto-low / empty / team-validated)</t>
  </si>
  <si>
    <t xml:space="preserve">Team review priorities:</t>
  </si>
  <si>
    <t xml:space="preserve">• Rows marked auto-low (amber) — first-pass specs are educated guesses. Review carefully. Common pattern: opportunities whose effect is modeled as a portfolio-level curve shift (measurement upgrades, defensive moves).</t>
  </si>
  <si>
    <t xml:space="preserve">• Rows marked empty — no spec was generated. Must be filled in manually.</t>
  </si>
  <si>
    <t xml:space="preserve">• Rows marked auto-high (green) — tactical reallocations and cost reductions. Patterns are well-understood; review briefly and move on.</t>
  </si>
  <si>
    <t xml:space="preserve">• Once reviewed, change Schema review status to 'team-validated' so subsequent build sessions know which opportunities are approved for production use.</t>
  </si>
  <si>
    <t xml:space="preserve">Open questions (from design spec Section 7):</t>
  </si>
  <si>
    <t xml:space="preserve">1. For CURVE_SHIFT opportunities affecting the same channel, is multiplicative composition the right default, or should overlapping mechanisms (e.g., in-house creative + server-side tagging both lifting Meta ROI) use max() or min()?</t>
  </si>
  <si>
    <t xml:space="preserve">2. Should implementation_cost reduce portfolio ROI in Optimize, or be displayed separately as capex?</t>
  </si>
  <si>
    <t xml:space="preserve">3. CX_LIFT effects on LTV — should they flow into main portfolio ROI display or stay in a dedicated LTV/CAC panel?</t>
  </si>
  <si>
    <t xml:space="preserve">ID</t>
  </si>
  <si>
    <t xml:space="preserve">Category</t>
  </si>
  <si>
    <t xml:space="preserve">Subcategory</t>
  </si>
  <si>
    <t xml:space="preserve">Opportunity name</t>
  </si>
  <si>
    <t xml:space="preserve">Description</t>
  </si>
  <si>
    <t xml:space="preserve">Magnitude — Low ($)</t>
  </si>
  <si>
    <t xml:space="preserve">Magnitude — High ($)</t>
  </si>
  <si>
    <t xml:space="preserve">Mag band</t>
  </si>
  <si>
    <t xml:space="preserve">Confidence</t>
  </si>
  <si>
    <t xml:space="preserve">Required data signals</t>
  </si>
  <si>
    <t xml:space="preserve">External signals used</t>
  </si>
  <si>
    <t xml:space="preserve">Timeline</t>
  </si>
  <si>
    <t xml:space="preserve">Retail</t>
  </si>
  <si>
    <t xml:space="preserve">B2B SaaS</t>
  </si>
  <si>
    <t xml:space="preserve">DTC</t>
  </si>
  <si>
    <t xml:space="preserve">Services</t>
  </si>
  <si>
    <t xml:space="preserve">Trigger conditions</t>
  </si>
  <si>
    <t xml:space="preserve">Risk notes</t>
  </si>
  <si>
    <t xml:space="preserve">Status</t>
  </si>
  <si>
    <t xml:space="preserve">Effects (JSON)</t>
  </si>
  <si>
    <t xml:space="preserve">Impl one-time ($K)</t>
  </si>
  <si>
    <t xml:space="preserve">Impl annual ($K)</t>
  </si>
  <si>
    <t xml:space="preserve">Impl timing</t>
  </si>
  <si>
    <t xml:space="preserve">Dependencies</t>
  </si>
  <si>
    <t xml:space="preserve">Mutex with</t>
  </si>
  <si>
    <t xml:space="preserve">Requires signals</t>
  </si>
  <si>
    <t xml:space="preserve">Schema review status</t>
  </si>
  <si>
    <t xml:space="preserve">OPP-001</t>
  </si>
  <si>
    <t xml:space="preserve">Tactical</t>
  </si>
  <si>
    <t xml:space="preserve">Reallocation</t>
  </si>
  <si>
    <t xml:space="preserve">Shift budget from saturated channel to channel with headroom</t>
  </si>
  <si>
    <t xml:space="preserve">Move spend from a channel at/past its marginal-ROI inflection point into a channel with positive marginal ROI gap. Most common high-confidence move.</t>
  </si>
  <si>
    <t xml:space="preserve">L</t>
  </si>
  <si>
    <t xml:space="preserve">H</t>
  </si>
  <si>
    <t xml:space="preserve">MMM marginal-ROI curves; channel saturation flags; spend history</t>
  </si>
  <si>
    <t xml:space="preserve">Industry CPM benchmarks (validate target channel pricing)</t>
  </si>
  <si>
    <t xml:space="preserve">Days</t>
  </si>
  <si>
    <t xml:space="preserve">Marketing Ops</t>
  </si>
  <si>
    <t xml:space="preserve">Y</t>
  </si>
  <si>
    <t xml:space="preserve">Channel A marginal ROI &lt; portfolio median AND Channel B marginal ROI &gt; 1.5× threshold AND headroom confirmed</t>
  </si>
  <si>
    <t xml:space="preserve">Cannibalization risk between channels touching same audience; estimated via Shapley overlap</t>
  </si>
  <si>
    <t xml:space="preserve">Proposed</t>
  </si>
  <si>
    <t xml:space="preserve">[{"type":"spend_shift", "from_channel":"saturated", "amount_k":300, "to_channel":"headroom"}]</t>
  </si>
  <si>
    <t xml:space="preserve">immediate</t>
  </si>
  <si>
    <t xml:space="preserve">industry_cpm_benchmarks</t>
  </si>
  <si>
    <t xml:space="preserve">auto-high</t>
  </si>
  <si>
    <t xml:space="preserve">OPP-002</t>
  </si>
  <si>
    <t xml:space="preserve">Scale</t>
  </si>
  <si>
    <t xml:space="preserve">Increase spend on top-decile campaign within healthy channel</t>
  </si>
  <si>
    <t xml:space="preserve">Identified campaigns showing above-average ROI AND positive marginal returns AND stable trend. Scale aggressively while conditions hold.</t>
  </si>
  <si>
    <t xml:space="preserve">M</t>
  </si>
  <si>
    <t xml:space="preserve">Campaign-level ROI; marginal ROI; 30-day trend stability</t>
  </si>
  <si>
    <t xml:space="preserve">Industry CPM benchmarks; demand signals (search trend)</t>
  </si>
  <si>
    <t xml:space="preserve">Campaign ROI &gt; channel median × 1.3 AND marginal ROI &gt; 2× AND no declining trend</t>
  </si>
  <si>
    <t xml:space="preserve">Diminishing returns set in faster than modeled if competitor enters; recheck weekly</t>
  </si>
  <si>
    <t xml:space="preserve">[{"type":"spend_shift", "from_channel":"portfolio_reserve", "amount_k":150, "to_channel":"top_decile_campaign"}]</t>
  </si>
  <si>
    <t xml:space="preserve">industry_cpm_benchmarks, search_trend_data</t>
  </si>
  <si>
    <t xml:space="preserve">OPP-003</t>
  </si>
  <si>
    <t xml:space="preserve">Cut</t>
  </si>
  <si>
    <t xml:space="preserve">Eliminate sub-1× ROI campaign at zero downside</t>
  </si>
  <si>
    <t xml:space="preserve">Campaign returning less than its spend over 90+ days with no improvement trajectory. Cut and redeploy. Lowest-risk move in the catalog.</t>
  </si>
  <si>
    <t xml:space="preserve">Campaign 90-day ROI &lt; 1.0; trend slope ≥ 0; no recent creative refresh</t>
  </si>
  <si>
    <t xml:space="preserve">None — internal data sufficient</t>
  </si>
  <si>
    <t xml:space="preserve">ROI &lt; 1.0× over 90 days AND trend not improving AND not in protected campaign list</t>
  </si>
  <si>
    <t xml:space="preserve">Audience signal loss for prospecting funnel; check downstream channel impact</t>
  </si>
  <si>
    <t xml:space="preserve">[{"type":"spend_shift", "from_channel":"losing_channel", "amount_k":200, "to_channel":null}]</t>
  </si>
  <si>
    <t xml:space="preserve">OPP-004</t>
  </si>
  <si>
    <t xml:space="preserve">Cap spend</t>
  </si>
  <si>
    <t xml:space="preserve">Cap spend on past-peak campaign to halt overinvestment</t>
  </si>
  <si>
    <t xml:space="preserve">Campaign past saturation point — additional spend yields diminishing or negative marginal returns. Cap at current level rather than cut entirely.</t>
  </si>
  <si>
    <t xml:space="preserve">Marginal ROI &lt; 1.0 at current spend; spend trend rising</t>
  </si>
  <si>
    <t xml:space="preserve">Marginal ROI declining for 4+ consecutive weeks AND total ROI still &gt; 1× AND spend &gt; median</t>
  </si>
  <si>
    <t xml:space="preserve">Need to monitor — partial cap may push budget to even worse alternative</t>
  </si>
  <si>
    <t xml:space="preserve">[{"type":"spend_shift", "from_channel":"past_peak_channel", "amount_k":150, "to_channel":null}]</t>
  </si>
  <si>
    <t xml:space="preserve">OPP-005</t>
  </si>
  <si>
    <t xml:space="preserve">Audience refinement</t>
  </si>
  <si>
    <t xml:space="preserve">Narrow targeting on broad-audience campaign to lift CVR</t>
  </si>
  <si>
    <t xml:space="preserve">Broad audience campaigns showing wide CVR variance. Tighten to top-quartile audience segments to lift portfolio efficiency.</t>
  </si>
  <si>
    <t xml:space="preserve">Audience-level CVR data; audience overlap matrix; segment performance</t>
  </si>
  <si>
    <t xml:space="preserve">First-party CRM enrichment (if available)</t>
  </si>
  <si>
    <t xml:space="preserve">Audience-level CVR variance &gt; 3× AND top quartile has sufficient volume</t>
  </si>
  <si>
    <t xml:space="preserve">Reduces reach; may need supplementary prospecting elsewhere</t>
  </si>
  <si>
    <t xml:space="preserve">[{"type":"curve_shift", "channel":"target_channel", "shift_type":"multiplicative", "shift_magnitude":1.08, "ramp_months":1, "confidence_range":[1.04, 1.12]}]</t>
  </si>
  <si>
    <t xml:space="preserve">auto-medium</t>
  </si>
  <si>
    <t xml:space="preserve">OPP-006</t>
  </si>
  <si>
    <t xml:space="preserve">Creative refresh</t>
  </si>
  <si>
    <t xml:space="preserve">Refresh fatigued creative on declining campaign</t>
  </si>
  <si>
    <t xml:space="preserve">Campaign showing declining CTR + flat-to-rising CPM = creative fatigue signal. Refresh before performance deteriorates further.</t>
  </si>
  <si>
    <t xml:space="preserve">S</t>
  </si>
  <si>
    <t xml:space="preserve">CTR trend; CPM trend; days since last creative variant</t>
  </si>
  <si>
    <t xml:space="preserve">Competitive promotional intelligence (what's running in market)</t>
  </si>
  <si>
    <t xml:space="preserve">Weeks</t>
  </si>
  <si>
    <t xml:space="preserve">CTR declining &gt; 15% over 30 days AND no creative refresh in 60+ days</t>
  </si>
  <si>
    <t xml:space="preserve">Refresh may need 2-3 cycles; budget for testing variants</t>
  </si>
  <si>
    <t xml:space="preserve">[{"type":"curve_shift", "channel":"fatigued_channel", "shift_type":"multiplicative", "shift_magnitude":1.1, "ramp_months":1, "confidence_range":[1.05, 1.15]}]</t>
  </si>
  <si>
    <t xml:space="preserve">competitor_promotional_intel</t>
  </si>
  <si>
    <t xml:space="preserve">OPP-007</t>
  </si>
  <si>
    <t xml:space="preserve">Frequency cap</t>
  </si>
  <si>
    <t xml:space="preserve">Apply frequency cap to over-served retargeting audience</t>
  </si>
  <si>
    <t xml:space="preserve">Retargeting frequency above industry threshold (typically 5-7/week) without proportional conversion lift. Apply cap to reduce waste.</t>
  </si>
  <si>
    <t xml:space="preserve">Retargeting frequency distribution; CVR by frequency band</t>
  </si>
  <si>
    <t xml:space="preserve">Industry frequency benchmarks</t>
  </si>
  <si>
    <t xml:space="preserve">Avg frequency &gt; 8/week AND CVR doesn't improve above frequency 5</t>
  </si>
  <si>
    <t xml:space="preserve">Can hurt completion-rate metrics for view-through attribution</t>
  </si>
  <si>
    <t xml:space="preserve">[{"type":"spend_shift", "from_channel":"over_served_retargeting", "amount_k":80, "to_channel":null}, {"type":"curve_shift", "channel":"retargeting_channel", "shift_type":"multiplicative", "shift_magnitude":1.05, "ramp_months":1, "confidence_range":[1.02, 1.08]}]</t>
  </si>
  <si>
    <t xml:space="preserve">OPP-008</t>
  </si>
  <si>
    <t xml:space="preserve">Bid strategy change</t>
  </si>
  <si>
    <t xml:space="preserve">Switch bid strategy to better match objective</t>
  </si>
  <si>
    <t xml:space="preserve">Campaign optimizing for wrong objective (e.g., max-clicks when conversions are countable). Switch to target-CPA or value-based bidding.</t>
  </si>
  <si>
    <t xml:space="preserve">Conversion volume; current bid strategy; tCPA feasibility check</t>
  </si>
  <si>
    <t xml:space="preserve">Sufficient conversion volume (50+/month) AND current strategy mismatched to goal</t>
  </si>
  <si>
    <t xml:space="preserve">Initial 2-week learning period may show worse short-term performance</t>
  </si>
  <si>
    <t xml:space="preserve">[{"type":"curve_shift", "channel":"target_channel", "shift_type":"multiplicative", "shift_magnitude":1.08, "ramp_months":1, "confidence_range":[1.03, 1.13]}]</t>
  </si>
  <si>
    <t xml:space="preserve">OPP-009</t>
  </si>
  <si>
    <t xml:space="preserve">Day-parting</t>
  </si>
  <si>
    <t xml:space="preserve">Restrict spend to high-conversion hours/days</t>
  </si>
  <si>
    <t xml:space="preserve">Conversion data shows strong day/hour patterns. Restrict spend to high-converting windows to lift portfolio CVR.</t>
  </si>
  <si>
    <t xml:space="preserve">Hourly/daily conversion patterns; sufficient time-series data</t>
  </si>
  <si>
    <t xml:space="preserve">Macro indicator data (consumer activity patterns)</t>
  </si>
  <si>
    <t xml:space="preserve">P</t>
  </si>
  <si>
    <t xml:space="preserve">CVR varies &gt; 40% across hours/days AND consistent pattern over 60+ days</t>
  </si>
  <si>
    <t xml:space="preserve">Reduced reach may push CPMs higher in tight windows</t>
  </si>
  <si>
    <t xml:space="preserve">[{"type":"curve_shift", "channel":"target_channel", "shift_type":"multiplicative", "shift_magnitude":1.06, "ramp_months":1, "confidence_range":[1.03, 1.1]}]</t>
  </si>
  <si>
    <t xml:space="preserve">macro_indicators</t>
  </si>
  <si>
    <t xml:space="preserve">OPP-010</t>
  </si>
  <si>
    <t xml:space="preserve">Geo adjustment</t>
  </si>
  <si>
    <t xml:space="preserve">Shift spend toward high-LTV geographies</t>
  </si>
  <si>
    <t xml:space="preserve">Customer LTV varies meaningfully by geography. Shift acquisition spend toward geos with above-portfolio LTV.</t>
  </si>
  <si>
    <t xml:space="preserve">Customer LTV by geo; current spend distribution by geo</t>
  </si>
  <si>
    <t xml:space="preserve">Macro indicators (regional economic conditions)</t>
  </si>
  <si>
    <t xml:space="preserve">LTV variance by geo &gt; 1.5× AND current spend not proportionally weighted</t>
  </si>
  <si>
    <t xml:space="preserve">Geo concentration risk; consider keeping floor in lower-LTV geos</t>
  </si>
  <si>
    <t xml:space="preserve">[{"type":"curve_shift", "channel":"target_channel", "shift_type":"multiplicative", "shift_magnitude":1.08, "ramp_months":2, "confidence_range":[1.04, 1.12]}]</t>
  </si>
  <si>
    <t xml:space="preserve">OPP-011</t>
  </si>
  <si>
    <t xml:space="preserve">Landing page test</t>
  </si>
  <si>
    <t xml:space="preserve">A/B test landing page on high-traffic underperforming channel</t>
  </si>
  <si>
    <t xml:space="preserve">Channel with strong traffic but below-portfolio CVR. Test landing page variants to lift conversion rate at zero ad spend change.</t>
  </si>
  <si>
    <t xml:space="preserve">Channel traffic volume; CVR vs portfolio median; existing LP infrastructure</t>
  </si>
  <si>
    <t xml:space="preserve">Traffic &gt; 5K visits/month AND CVR &lt; portfolio median × 0.7 AND no recent LP test</t>
  </si>
  <si>
    <t xml:space="preserve">Test reads need 2-4 weeks for statistical significance</t>
  </si>
  <si>
    <t xml:space="preserve">[{"type":"cx_lift", "metric":"cvr", "lift_multiplier":1.05, "applies_to_channels":"all", "confidence_range":[1.02, 1.09], "ramp_months":1}]</t>
  </si>
  <si>
    <t xml:space="preserve">OPP-012</t>
  </si>
  <si>
    <t xml:space="preserve">Promo timing</t>
  </si>
  <si>
    <t xml:space="preserve">Shift promo calendar to align with demand peaks</t>
  </si>
  <si>
    <t xml:space="preserve">Promotional offers running during low-demand periods. Realign to coincide with detected demand peaks for higher per-promo revenue.</t>
  </si>
  <si>
    <t xml:space="preserve">Conversion patterns; promo history; current calendar</t>
  </si>
  <si>
    <t xml:space="preserve">Calendar/seasonality data; demand signals (search trends)</t>
  </si>
  <si>
    <t xml:space="preserve">Marketing Leadership</t>
  </si>
  <si>
    <t xml:space="preserve">Promos running during below-average demand windows AND high-demand windows have no promo</t>
  </si>
  <si>
    <t xml:space="preserve">Inventory and finance constraints on promo timing</t>
  </si>
  <si>
    <t xml:space="preserve">[{"type":"curve_shift", "channel":"target_channel", "shift_type":"multiplicative", "shift_magnitude":1.07, "ramp_months":1, "confidence_range":[1.03, 1.12]}]</t>
  </si>
  <si>
    <t xml:space="preserve">search_trend_data, calendar_seasonality</t>
  </si>
  <si>
    <t xml:space="preserve">OPP-013</t>
  </si>
  <si>
    <t xml:space="preserve">Search keyword expansion</t>
  </si>
  <si>
    <t xml:space="preserve">Add high-intent keyword variants to converting campaigns</t>
  </si>
  <si>
    <t xml:space="preserve">Existing keywords show high CVR but limited impression share. Expand keyword set with semantic variants and long-tail.</t>
  </si>
  <si>
    <t xml:space="preserve">Search Query Reports; impression share data; keyword CVR</t>
  </si>
  <si>
    <t xml:space="preserve">Search trend data (Google Trends/Semrush)</t>
  </si>
  <si>
    <t xml:space="preserve">Top keywords have impression share &lt; 70% AND CVR &gt; campaign median</t>
  </si>
  <si>
    <t xml:space="preserve">Expansion may pull in lower-intent traffic; monitor CVR closely</t>
  </si>
  <si>
    <t xml:space="preserve">[{"type":"curve_shift", "channel":"target_search_channel", "shift_type":"multiplicative", "shift_magnitude":1.09, "ramp_months":1, "confidence_range":[1.05, 1.14]}]</t>
  </si>
  <si>
    <t xml:space="preserve">search_trend_data</t>
  </si>
  <si>
    <t xml:space="preserve">OPP-014</t>
  </si>
  <si>
    <t xml:space="preserve">Search keyword cuts</t>
  </si>
  <si>
    <t xml:space="preserve">Remove zero-conversion keywords from active campaigns</t>
  </si>
  <si>
    <t xml:space="preserve">Cleanup: identify and remove keywords with significant impressions/clicks but zero or near-zero conversions over 60+ days.</t>
  </si>
  <si>
    <t xml:space="preserve">Keyword-level conversion data; impressions; clicks</t>
  </si>
  <si>
    <t xml:space="preserve">Keyword has &gt;100 clicks AND zero conversions over 60 days</t>
  </si>
  <si>
    <t xml:space="preserve">Some keywords serve brand/visibility purpose even if not converting</t>
  </si>
  <si>
    <t xml:space="preserve">[{"type":"spend_shift", "from_channel":"waste_keywords", "amount_k":50, "to_channel":null}]</t>
  </si>
  <si>
    <t xml:space="preserve">OPP-015</t>
  </si>
  <si>
    <t xml:space="preserve">Negative keyword expansion</t>
  </si>
  <si>
    <t xml:space="preserve">Add negative keywords to filter wasted impressions</t>
  </si>
  <si>
    <t xml:space="preserve">Search Query Report shows impressions on irrelevant queries. Add as negatives to reduce wasted spend.</t>
  </si>
  <si>
    <t xml:space="preserve">Search Query Reports across all search campaigns</t>
  </si>
  <si>
    <t xml:space="preserve">SQR shows &gt;5% impression share on demonstrably irrelevant queries</t>
  </si>
  <si>
    <t xml:space="preserve">Risk of over-filtering; review weekly for first month</t>
  </si>
  <si>
    <t xml:space="preserve">[{"type":"curve_shift", "channel":"search_channel", "shift_type":"multiplicative", "shift_magnitude":1.04, "ramp_months":1, "confidence_range":[1.02, 1.07]}]</t>
  </si>
  <si>
    <t xml:space="preserve">OPP-016</t>
  </si>
  <si>
    <t xml:space="preserve">Seasonal pre-positioning</t>
  </si>
  <si>
    <t xml:space="preserve">Pre-load spend ahead of forecasted demand peak</t>
  </si>
  <si>
    <t xml:space="preserve">Begin building auction presence and audience pools 2-4 weeks before known demand spike (BFCM, back-to-school, vertical-specific events).</t>
  </si>
  <si>
    <t xml:space="preserve">Forecasted demand calendar; auction CPM trends; historical lift data</t>
  </si>
  <si>
    <t xml:space="preserve">Calendar/seasonality; macro indicators</t>
  </si>
  <si>
    <t xml:space="preserve">Demand peak in 2-6 weeks AND historical lift &gt; 30% during window</t>
  </si>
  <si>
    <t xml:space="preserve">Cash-flow timing; CFO sign-off may be needed for early spend</t>
  </si>
  <si>
    <t xml:space="preserve">[{"type":"curve_shift", "channel":"target_channel", "shift_type":"multiplicative", "shift_magnitude":1.15, "ramp_months":1, "confidence_range":[1.08, 1.25]}]</t>
  </si>
  <si>
    <t xml:space="preserve">macro_indicators, calendar_seasonality</t>
  </si>
  <si>
    <t xml:space="preserve">OPP-017</t>
  </si>
  <si>
    <t xml:space="preserve">Campaign structure simplification</t>
  </si>
  <si>
    <t xml:space="preserve">Consolidate fragmented campaigns into structured set</t>
  </si>
  <si>
    <t xml:space="preserve">Account has accumulated 50+ small campaigns with overlapping audiences. Consolidate to enable algorithmic optimization at scale.</t>
  </si>
  <si>
    <t xml:space="preserve">Campaign count; audience overlap matrix; spend fragmentation</t>
  </si>
  <si>
    <t xml:space="preserve">&gt;40 active campaigns AND median spend per campaign &lt; $5K/month AND audience overlap &gt; 30%</t>
  </si>
  <si>
    <t xml:space="preserve">Consolidation reduces granular reporting; may upset internal owners of cut campaigns</t>
  </si>
  <si>
    <t xml:space="preserve">[{"type":"curve_shift", "channel":"target_channel", "shift_type":"multiplicative", "shift_magnitude":1.06, "ramp_months":2, "confidence_range":[1.02, 1.1]}]</t>
  </si>
  <si>
    <t xml:space="preserve">OPP-018</t>
  </si>
  <si>
    <t xml:space="preserve">Conversion event optimization</t>
  </si>
  <si>
    <t xml:space="preserve">Switch optimization event to higher-quality signal</t>
  </si>
  <si>
    <t xml:space="preserve">Campaign optimizing on top-of-funnel event (page view, add-to-cart) when value-event data is available. Switch for better algorithm signal.</t>
  </si>
  <si>
    <t xml:space="preserve">Conversion event configuration; value-event volume; current optimization target</t>
  </si>
  <si>
    <t xml:space="preserve">Value events &gt; 50/month AND currently optimizing on lower-funnel proxy</t>
  </si>
  <si>
    <t xml:space="preserve">Algorithm relearning period; expect 2 weeks of variability</t>
  </si>
  <si>
    <t xml:space="preserve">[{"type":"curve_shift", "channel":"target_channel", "shift_type":"multiplicative", "shift_magnitude":1.08, "ramp_months":1, "confidence_range":[1.04, 1.13]}]</t>
  </si>
  <si>
    <t xml:space="preserve">OPP-019</t>
  </si>
  <si>
    <t xml:space="preserve">Cross-channel exclusion</t>
  </si>
  <si>
    <t xml:space="preserve">Exclude converted customers from prospecting audiences</t>
  </si>
  <si>
    <t xml:space="preserve">Customers who recently converted are still in prospecting audience pools. Exclude to reduce wasted impressions.</t>
  </si>
  <si>
    <t xml:space="preserve">CRM customer list; ad platform custom audience setup; current exclusion config</t>
  </si>
  <si>
    <t xml:space="preserve">No active converted-customer exclusion AND high-frequency retargeting overlap</t>
  </si>
  <si>
    <t xml:space="preserve">Need clean CRM-to-platform sync; data privacy compliance check</t>
  </si>
  <si>
    <t xml:space="preserve">[{"type":"curve_shift", "channel":"prospecting_channel", "shift_type":"multiplicative", "shift_magnitude":1.05, "ramp_months":1, "confidence_range":[1.03, 1.08]}]</t>
  </si>
  <si>
    <t xml:space="preserve">OPP-020</t>
  </si>
  <si>
    <t xml:space="preserve">Bid modifier adjustment</t>
  </si>
  <si>
    <t xml:space="preserve">Apply device/audience/time bid modifiers to align with value</t>
  </si>
  <si>
    <t xml:space="preserve">Performance varies meaningfully by device, audience segment, or daypart but bidding is uniform. Apply modifiers to improve efficiency.</t>
  </si>
  <si>
    <t xml:space="preserve">Performance breakdowns by device, audience, time</t>
  </si>
  <si>
    <t xml:space="preserve">Performance variance &gt; 2× across one or more dimensions AND current bid modifiers near 0%</t>
  </si>
  <si>
    <t xml:space="preserve">Modifier interactions complex; test incrementally</t>
  </si>
  <si>
    <t xml:space="preserve">OPP-021</t>
  </si>
  <si>
    <t xml:space="preserve">Strategic-Channel</t>
  </si>
  <si>
    <t xml:space="preserve">New channel test</t>
  </si>
  <si>
    <t xml:space="preserve">Launch CTV/streaming TV testing on Hulu/Roku/Pluto</t>
  </si>
  <si>
    <t xml:space="preserve">Currently zero CTV presence in mix. Industry data shows category fit + audience overlap. Test budget to validate before scaling.</t>
  </si>
  <si>
    <t xml:space="preserve">Current channel mix; audience profile; brand creative readiness</t>
  </si>
  <si>
    <t xml:space="preserve">Industry CPM benchmarks (CTV pricing); competitor spend estimates; demand signals</t>
  </si>
  <si>
    <t xml:space="preserve">Quarters</t>
  </si>
  <si>
    <t xml:space="preserve">CMO</t>
  </si>
  <si>
    <t xml:space="preserve">Customer audience over-indexes on streaming AND no CTV presence AND test budget available</t>
  </si>
  <si>
    <t xml:space="preserve">Measurement attribution for CTV is harder; need view-through methodology</t>
  </si>
  <si>
    <t xml:space="preserve">[{"type":"new_channel", "channel_id":"ctv", "channel_name":"Connected TV", "test_spend_k":400, "peak_marginal_roi":2.8, "saturation_k":1200, "confidence":"medium", "ramp_months":3}]</t>
  </si>
  <si>
    <t xml:space="preserve">2 weeks setup</t>
  </si>
  <si>
    <t xml:space="preserve">industry_cpm_benchmarks, competitor_promotional_intel</t>
  </si>
  <si>
    <t xml:space="preserve">OPP-022</t>
  </si>
  <si>
    <t xml:space="preserve">Add Reddit advertising for community-engaged audiences</t>
  </si>
  <si>
    <t xml:space="preserve">Reddit has emerged as high-intent platform for tech, finance, gaming, hobby verticals. Test on relevant subreddits for audience match.</t>
  </si>
  <si>
    <t xml:space="preserve">Audience profile; brand suitability for Reddit context</t>
  </si>
  <si>
    <t xml:space="preserve">Industry CPM benchmarks; competitive promotional intelligence</t>
  </si>
  <si>
    <t xml:space="preserve">Months</t>
  </si>
  <si>
    <t xml:space="preserve">Audience over-indexes on Reddit AND brand voice can adapt to platform AND no current presence</t>
  </si>
  <si>
    <t xml:space="preserve">Reddit moderator dynamics; brand safety; community backlash risk</t>
  </si>
  <si>
    <t xml:space="preserve">[{"type":"new_channel", "channel_id":"reddit", "channel_name":"Reddit", "test_spend_k":100, "peak_marginal_roi":2.5, "saturation_k":350, "confidence":"medium", "ramp_months":2}]</t>
  </si>
  <si>
    <t xml:space="preserve">OPP-023</t>
  </si>
  <si>
    <t xml:space="preserve">Launch TikTok creator partnerships and paid</t>
  </si>
  <si>
    <t xml:space="preserve">TikTok delivers high reach for younger demos. Combination of organic creator content + paid amplification works better than pure paid.</t>
  </si>
  <si>
    <t xml:space="preserve">Audience age profile; brand creative production capability</t>
  </si>
  <si>
    <t xml:space="preserve">Industry CPM benchmarks; competitor spend estimates; demand signals</t>
  </si>
  <si>
    <t xml:space="preserve">Target audience skews under 35 AND creative team can produce TikTok-native content</t>
  </si>
  <si>
    <t xml:space="preserve">Platform algorithm changes frequently; creator relationship management overhead</t>
  </si>
  <si>
    <t xml:space="preserve">[{"type":"new_channel", "channel_id":"tiktok", "channel_name":"TikTok", "test_spend_k":200, "peak_marginal_roi":2.6, "saturation_k":700, "confidence":"medium", "ramp_months":2}]</t>
  </si>
  <si>
    <t xml:space="preserve">OPP-024</t>
  </si>
  <si>
    <t xml:space="preserve">Add podcast advertising for trust-building reach</t>
  </si>
  <si>
    <t xml:space="preserve">Podcast ads deliver high attention and trust. Host-read formats work especially well for considered purchases.</t>
  </si>
  <si>
    <t xml:space="preserve">Audience podcast consumption; consideration cycle length</t>
  </si>
  <si>
    <t xml:space="preserve">Industry CPM benchmarks (podcast inventory); competitor spend</t>
  </si>
  <si>
    <t xml:space="preserve">Considered purchase (&gt;$200 ASP or B2B) AND audience consumes podcasts</t>
  </si>
  <si>
    <t xml:space="preserve">Attribution challenges; need promo-code or branded survey approach</t>
  </si>
  <si>
    <t xml:space="preserve">[{"type":"new_channel", "channel_id":"podcast", "channel_name":"Podcast", "test_spend_k":150, "peak_marginal_roi":2.4, "saturation_k":500, "confidence":"medium", "ramp_months":3}]</t>
  </si>
  <si>
    <t xml:space="preserve">OPP-025</t>
  </si>
  <si>
    <t xml:space="preserve">Add OOH/DOOH in high-density target markets</t>
  </si>
  <si>
    <t xml:space="preserve">Out-of-home advertising for brand-building in priority geos. Programmatic DOOH (digital OOH) enables data-targeted placement.</t>
  </si>
  <si>
    <t xml:space="preserve">Geographic concentration; brand-equity gap in target markets</t>
  </si>
  <si>
    <t xml:space="preserve">Industry CPM benchmarks; competitor activity</t>
  </si>
  <si>
    <t xml:space="preserve">Brand awareness gap in priority geos AND budget for awareness investment</t>
  </si>
  <si>
    <t xml:space="preserve">Hard to attribute lift; long lead time for placements</t>
  </si>
  <si>
    <t xml:space="preserve">[{"type":"new_channel", "channel_id":"ooh", "channel_name":"Out-of-home", "test_spend_k":300, "peak_marginal_roi":2.2, "saturation_k":900, "confidence":"low", "ramp_months":3}]</t>
  </si>
  <si>
    <t xml:space="preserve">OPP-026</t>
  </si>
  <si>
    <t xml:space="preserve">Launch Pinterest for visual/lifestyle categories</t>
  </si>
  <si>
    <t xml:space="preserve">Pinterest delivers strong intent for home, fashion, beauty, food, wedding categories. Lower competition than Meta in many verticals.</t>
  </si>
  <si>
    <t xml:space="preserve">Product category fit; visual content library</t>
  </si>
  <si>
    <t xml:space="preserve">Industry CPM benchmarks; demand signals</t>
  </si>
  <si>
    <t xml:space="preserve">N</t>
  </si>
  <si>
    <t xml:space="preserve">Product is visually-driven AND target audience female-skewed</t>
  </si>
  <si>
    <t xml:space="preserve">Audience skew may not match B2B or technical products</t>
  </si>
  <si>
    <t xml:space="preserve">[{"type":"new_channel", "channel_id":"pinterest", "channel_name":"Pinterest", "test_spend_k":80, "peak_marginal_roi":2.8, "saturation_k":350, "confidence":"medium", "ramp_months":2}]</t>
  </si>
  <si>
    <t xml:space="preserve">OPP-027</t>
  </si>
  <si>
    <t xml:space="preserve">Geographic expansion</t>
  </si>
  <si>
    <t xml:space="preserve">Open international markets where organic demand exists</t>
  </si>
  <si>
    <t xml:space="preserve">Detect geographies with significant organic traffic but no targeted spend. Activate paid acquisition in those markets.</t>
  </si>
  <si>
    <t xml:space="preserve">Geographic traffic distribution; conversion rates by geo; payment/fulfillment readiness</t>
  </si>
  <si>
    <t xml:space="preserve">Macro indicators (target market economics); demand signals</t>
  </si>
  <si>
    <t xml:space="preserve">&gt;15% organic traffic from non-targeted geos AND fulfillment infrastructure ready</t>
  </si>
  <si>
    <t xml:space="preserve">Localization, currency, tax, returns, customer support requirements</t>
  </si>
  <si>
    <t xml:space="preserve">[{"type":"new_channel", "channel_id":"international", "channel_name":"International markets", "test_spend_k":300, "peak_marginal_roi":2.8, "saturation_k":900, "confidence":"medium", "ramp_months":3}]</t>
  </si>
  <si>
    <t xml:space="preserve">OPP-028</t>
  </si>
  <si>
    <t xml:space="preserve">Audience expansion</t>
  </si>
  <si>
    <t xml:space="preserve">Open new customer segment (B2B / SMB / Enterprise)</t>
  </si>
  <si>
    <t xml:space="preserve">Detected demand from segment outside current targeting. Build dedicated funnel and acquisition motion.</t>
  </si>
  <si>
    <t xml:space="preserve">XL</t>
  </si>
  <si>
    <t xml:space="preserve">Cross-segment lead/customer signals; product-market fit indicators for new segment</t>
  </si>
  <si>
    <t xml:space="preserve">Industry segment data; competitor activity in segment</t>
  </si>
  <si>
    <t xml:space="preserve">Inbound demand from non-targeted segment AND product features support segment AND ICP definition possible</t>
  </si>
  <si>
    <t xml:space="preserve">Segment may require different product positioning, pricing, sales motion</t>
  </si>
  <si>
    <t xml:space="preserve">[{"type":"new_channel", "channel_id":"new_segment", "channel_name":"New customer segment", "test_spend_k":400, "peak_marginal_roi":2.6, "saturation_k":1200, "confidence":"low", "ramp_months":6}]</t>
  </si>
  <si>
    <t xml:space="preserve">OPP-029</t>
  </si>
  <si>
    <t xml:space="preserve">Owned media</t>
  </si>
  <si>
    <t xml:space="preserve">Launch newsletter/content engine for owned audience growth</t>
  </si>
  <si>
    <t xml:space="preserve">Build first-party audience asset less subject to platform algorithm risk. Long payback but compounding asset.</t>
  </si>
  <si>
    <t xml:space="preserve">Current owned-media presence; audience growth rate</t>
  </si>
  <si>
    <t xml:space="preserve">Industry benchmarks for newsletter ROI; demand signals (topic interest)</t>
  </si>
  <si>
    <t xml:space="preserve">Heavy dependence on paid AND audience demonstrates appetite for educational content</t>
  </si>
  <si>
    <t xml:space="preserve">Long ramp; needs sustained editorial investment; team capability question</t>
  </si>
  <si>
    <t xml:space="preserve">[{"type":"new_channel", "channel_id":"owned_media", "channel_name":"Owned media", "test_spend_k":150, "peak_marginal_roi":3.5, "saturation_k":500, "confidence":"low", "ramp_months":6}]</t>
  </si>
  <si>
    <t xml:space="preserve">OPP-030</t>
  </si>
  <si>
    <t xml:space="preserve">Launch branded podcast or YouTube channel</t>
  </si>
  <si>
    <t xml:space="preserve">Build owned video/audio audience for brand building, thought leadership, and SEO benefit.</t>
  </si>
  <si>
    <t xml:space="preserve">Audience consumption habits; brand voice strength</t>
  </si>
  <si>
    <t xml:space="preserve">Demand signals (topic interest); competitor activity</t>
  </si>
  <si>
    <t xml:space="preserve">Strong subject matter expertise in-house AND audience consumes long-form content</t>
  </si>
  <si>
    <t xml:space="preserve">Production cost; consistency required (12+ months); attribution unclear</t>
  </si>
  <si>
    <t xml:space="preserve">OPP-031</t>
  </si>
  <si>
    <t xml:space="preserve">Partnership</t>
  </si>
  <si>
    <t xml:space="preserve">Build affiliate/partner program</t>
  </si>
  <si>
    <t xml:space="preserve">Activate channel of partners (creators, complementary brands, publishers) with revenue-share structure. Performance-based, lower CAC ceiling.</t>
  </si>
  <si>
    <t xml:space="preserve">Partner ecosystem maturity; product fit for partnership; tracking infrastructure</t>
  </si>
  <si>
    <t xml:space="preserve">Industry partnership benchmarks; competitor partner programs</t>
  </si>
  <si>
    <t xml:space="preserve">Identifiable partner pool AND product fits partnership economics AND tracking ready</t>
  </si>
  <si>
    <t xml:space="preserve">Partner quality control; brand safety; payment reconciliation overhead</t>
  </si>
  <si>
    <t xml:space="preserve">[{"type":"new_channel", "channel_id":"partner_channel", "channel_name":"Partner/affiliate", "test_spend_k":100, "peak_marginal_roi":3.2, "saturation_k":400, "confidence":"medium", "ramp_months":3}]</t>
  </si>
  <si>
    <t xml:space="preserve">OPP-032</t>
  </si>
  <si>
    <t xml:space="preserve">Launch creator/influencer program</t>
  </si>
  <si>
    <t xml:space="preserve">Move from one-off creator deals to managed program. Build creator portfolio aligned with brand and audience.</t>
  </si>
  <si>
    <t xml:space="preserve">Audience overlap with creators; current ad-hoc spend; brand creative guidelines</t>
  </si>
  <si>
    <t xml:space="preserve">Industry creator economy data; competitor creator activity</t>
  </si>
  <si>
    <t xml:space="preserve">Audience consumes creator content AND brand can adapt to creator-led messaging</t>
  </si>
  <si>
    <t xml:space="preserve">Creator vetting; FTC/disclosure compliance; performance variance</t>
  </si>
  <si>
    <t xml:space="preserve">OPP-033</t>
  </si>
  <si>
    <t xml:space="preserve">Activate co-marketing with complementary brand</t>
  </si>
  <si>
    <t xml:space="preserve">Partner with non-competing brand serving same customer for joint campaigns, content, audience swaps. Shared cost, expanded reach.</t>
  </si>
  <si>
    <t xml:space="preserve">Customer overlap analysis; partner brand identification</t>
  </si>
  <si>
    <t xml:space="preserve">Competitor activity; demand signals</t>
  </si>
  <si>
    <t xml:space="preserve">Identified non-competing brand with audience overlap AND mutual interest</t>
  </si>
  <si>
    <t xml:space="preserve">Partner alignment difficult to maintain; brand safety risk</t>
  </si>
  <si>
    <t xml:space="preserve">OPP-034</t>
  </si>
  <si>
    <t xml:space="preserve">Niche publication</t>
  </si>
  <si>
    <t xml:space="preserve">Add niche B2B/vertical publication advertising</t>
  </si>
  <si>
    <t xml:space="preserve">Industry-specific publications deliver high-fit audience at lower CPM than mass platforms. Especially valuable for B2B and considered purchases.</t>
  </si>
  <si>
    <t xml:space="preserve">Audience read-list; ICP overlap with publication audience</t>
  </si>
  <si>
    <t xml:space="preserve">Industry CPM benchmarks; publication audience data</t>
  </si>
  <si>
    <t xml:space="preserve">B2B or considered purchase AND identifiable vertical publications AND audience overlap</t>
  </si>
  <si>
    <t xml:space="preserve">Limited scale; manual placement workflows</t>
  </si>
  <si>
    <t xml:space="preserve">[{"type":"new_channel", "channel_id":"niche_pub", "channel_name":"Niche publication", "test_spend_k":80, "peak_marginal_roi":2.9, "saturation_k":300, "confidence":"medium", "ramp_months":2}]</t>
  </si>
  <si>
    <t xml:space="preserve">OPP-035</t>
  </si>
  <si>
    <t xml:space="preserve">Native advertising</t>
  </si>
  <si>
    <t xml:space="preserve">Launch native/content distribution</t>
  </si>
  <si>
    <t xml:space="preserve">Distribute brand content via native ad networks (Outbrain, Taboola, Nativo) for top-funnel awareness with content-format engagement.</t>
  </si>
  <si>
    <t xml:space="preserve">Content asset library; brand voice adaptability</t>
  </si>
  <si>
    <t xml:space="preserve">Industry CPM benchmarks; competitor spend</t>
  </si>
  <si>
    <t xml:space="preserve">Content library exists AND awareness gap AND budget for top-funnel investment</t>
  </si>
  <si>
    <t xml:space="preserve">Native quality varies; brand safety; attribution challenges</t>
  </si>
  <si>
    <t xml:space="preserve">[{"type":"new_channel", "channel_id":"native", "channel_name":"Native advertising", "test_spend_k":150, "peak_marginal_roi":2.3, "saturation_k":500, "confidence":"medium", "ramp_months":2}]</t>
  </si>
  <si>
    <t xml:space="preserve">OPP-036</t>
  </si>
  <si>
    <t xml:space="preserve">Strategic-Capability</t>
  </si>
  <si>
    <t xml:space="preserve">In-housing</t>
  </si>
  <si>
    <t xml:space="preserve">Build in-house creative team for paid social</t>
  </si>
  <si>
    <t xml:space="preserve">Agency creative cycle is bottlenecking iteration. In-housing reduces cycle time from weeks to days, enabling test-and-learn at platform speed.</t>
  </si>
  <si>
    <t xml:space="preserve">Current creative cycle time; volume of creative requests; agency cost</t>
  </si>
  <si>
    <t xml:space="preserve">Industry agency vs in-house benchmarks; talent market data</t>
  </si>
  <si>
    <t xml:space="preserve">Agency cycle time &gt; 2 weeks AND creative request volume justifies team AND budget for hiring</t>
  </si>
  <si>
    <t xml:space="preserve">Hiring risk; capability gaps; need for senior leadership</t>
  </si>
  <si>
    <t xml:space="preserve">[{"type":"curve_shift", "channel":"meta-pros", "shift_type":"multiplicative", "shift_magnitude":1.15, "ramp_months":6, "confidence_range":[1.08, 1.22]}, {"type":"curve_shift", "channel":"meta-rt", "shift_type":"multiplicative", "shift_magnitude":1.12, "ramp_months":6, "confidence_range":[1.06, 1.18]}]</t>
  </si>
  <si>
    <t xml:space="preserve">6-month ramp</t>
  </si>
  <si>
    <t xml:space="preserve">OPP-037</t>
  </si>
  <si>
    <t xml:space="preserve">Bring media buying in-house</t>
  </si>
  <si>
    <t xml:space="preserve">Eliminate agency markup on programmatic and platform media buying. Requires team, tooling, and platform certifications.</t>
  </si>
  <si>
    <t xml:space="preserve">Current agency fees; media spend volume; team capability assessment</t>
  </si>
  <si>
    <t xml:space="preserve">Industry in-housing benchmarks; talent market data</t>
  </si>
  <si>
    <t xml:space="preserve">Media spend &gt; $5M AND agency fees &gt; 8% of spend AND in-house capability buildable</t>
  </si>
  <si>
    <t xml:space="preserve">Major undertaking; 12-18 month transition; requires CFO + executive support</t>
  </si>
  <si>
    <t xml:space="preserve">[{"type":"cost_reduction", "source":"agency_fees", "annual_savings_k":600, "one_time_cost_k":200, "realization_months":12}, {"type":"curve_shift", "channel":"meta-pros", "shift_type":"multiplicative", "shift_magnitude":1.08, "ramp_months":9, "confidence_range":[1.04, 1.12]}]</t>
  </si>
  <si>
    <t xml:space="preserve">OPP-038</t>
  </si>
  <si>
    <t xml:space="preserve">Build in-house analytics/MMM team</t>
  </si>
  <si>
    <t xml:space="preserve">Replace external analytics vendor with internal team for faster turnaround, better data integration, lower long-term cost.</t>
  </si>
  <si>
    <t xml:space="preserve">Current analytics spend; data infrastructure maturity; internal capability</t>
  </si>
  <si>
    <t xml:space="preserve">Industry analytics function benchmarks</t>
  </si>
  <si>
    <t xml:space="preserve">Analytics spend &gt; $300K/year AND data infrastructure mature AND need for faster cycles</t>
  </si>
  <si>
    <t xml:space="preserve">Specialist hiring difficult; tool/platform investment alongside team</t>
  </si>
  <si>
    <t xml:space="preserve">[{"type":"cost_reduction", "source":"tool_subscription", "annual_savings_k":180, "one_time_cost_k":100, "realization_months":9}]</t>
  </si>
  <si>
    <t xml:space="preserve">OPP-039</t>
  </si>
  <si>
    <t xml:space="preserve">Tech stack</t>
  </si>
  <si>
    <t xml:space="preserve">Implement Customer Data Platform (CDP)</t>
  </si>
  <si>
    <t xml:space="preserve">Unify customer data across channels and systems. Enables better targeting, personalization, attribution. Major foundational investment.</t>
  </si>
  <si>
    <t xml:space="preserve">Current data architecture; system count; identity resolution gaps</t>
  </si>
  <si>
    <t xml:space="preserve">Industry CDP vendor data; benchmarks</t>
  </si>
  <si>
    <t xml:space="preserve">5+ disconnected customer data systems AND identity resolution issues AND personalization opportunity</t>
  </si>
  <si>
    <t xml:space="preserve">Implementation complexity; vendor lock-in; ongoing maintenance</t>
  </si>
  <si>
    <t xml:space="preserve">[{"type":"cx_lift", "metric":"cvr", "lift_multiplier":1.08, "applies_to_channels":"all", "confidence_range":[1.04, 1.12], "ramp_months":6}]</t>
  </si>
  <si>
    <t xml:space="preserve">4-month implementation</t>
  </si>
  <si>
    <t xml:space="preserve">OPP-040</t>
  </si>
  <si>
    <t xml:space="preserve">Implement attribution platform</t>
  </si>
  <si>
    <t xml:space="preserve">Replace ad-hoc spreadsheet-based attribution with dedicated platform. Enables continuous MMM, multi-touch attribution, scenario modeling.</t>
  </si>
  <si>
    <t xml:space="preserve">Current attribution approach; analyst time on attribution; cross-channel complexity</t>
  </si>
  <si>
    <t xml:space="preserve">Industry attribution platform benchmarks</t>
  </si>
  <si>
    <t xml:space="preserve">Multi-channel mix AND attribution disputes hindering decisions AND analyst capacity constrained</t>
  </si>
  <si>
    <t xml:space="preserve">Vendor selection complex; learning curve; ongoing data feeds</t>
  </si>
  <si>
    <t xml:space="preserve">[{"type":"curve_shift", "channel":"portfolio", "shift_type":"multiplicative", "shift_magnitude":1.05, "ramp_months":4, "confidence_range":[1.02, 1.08]}]</t>
  </si>
  <si>
    <t xml:space="preserve">auto-low</t>
  </si>
  <si>
    <t xml:space="preserve">OPP-041</t>
  </si>
  <si>
    <t xml:space="preserve">Implement creative automation platform</t>
  </si>
  <si>
    <t xml:space="preserve">Move from manual creative production to template-based automation for variants and personalization. Scales creative output 5-10×.</t>
  </si>
  <si>
    <t xml:space="preserve">Current creative volume; production cost per asset; variant needs</t>
  </si>
  <si>
    <t xml:space="preserve">Industry creative automation benchmarks</t>
  </si>
  <si>
    <t xml:space="preserve">Creative variant volume &gt; 100/month AND template structures applicable</t>
  </si>
  <si>
    <t xml:space="preserve">Brand consistency challenges; quality may decline initially</t>
  </si>
  <si>
    <t xml:space="preserve">[{"type":"curve_shift", "channel":"meta-pros", "shift_type":"multiplicative", "shift_magnitude":1.1, "ramp_months":3, "confidence_range":[1.05, 1.15]}, {"type":"curve_shift", "channel":"meta-rt", "shift_type":"multiplicative", "shift_magnitude":1.08, "ramp_months":3, "confidence_range":[1.04, 1.12]}]</t>
  </si>
  <si>
    <t xml:space="preserve">OPP-042</t>
  </si>
  <si>
    <t xml:space="preserve">Implement personalization layer (web/email)</t>
  </si>
  <si>
    <t xml:space="preserve">Deploy personalization platform for dynamic content based on user behavior, segment, lifecycle stage. Lifts CVR materially.</t>
  </si>
  <si>
    <t xml:space="preserve">Current personalization maturity; segmentation data; technical infrastructure</t>
  </si>
  <si>
    <t xml:space="preserve">Industry personalization benchmarks</t>
  </si>
  <si>
    <t xml:space="preserve">Site has volume to support personalization AND segmentation data exists AND CVR lift opportunity</t>
  </si>
  <si>
    <t xml:space="preserve">Tech complexity; segment definition required; testing infrastructure</t>
  </si>
  <si>
    <t xml:space="preserve">[{"type":"cx_lift", "metric":"cvr", "lift_multiplier":1.1, "applies_to_channels":"all", "confidence_range":[1.05, 1.15], "ramp_months":4}]</t>
  </si>
  <si>
    <t xml:space="preserve">OPP-043</t>
  </si>
  <si>
    <t xml:space="preserve">Stack consolidation</t>
  </si>
  <si>
    <t xml:space="preserve">Consolidate measurement stack (single attribution source)</t>
  </si>
  <si>
    <t xml:space="preserve">Multiple measurement tools (Northbeam + Triple Whale + native) creating reconciliation burden and conflicting data. Pick one.</t>
  </si>
  <si>
    <t xml:space="preserve">Current tool inventory; analyst time on reconciliation; data conflicts</t>
  </si>
  <si>
    <t xml:space="preserve">Industry tool consolidation benchmarks</t>
  </si>
  <si>
    <t xml:space="preserve">3+ overlapping measurement tools AND &gt;5h/week reconciliation work</t>
  </si>
  <si>
    <t xml:space="preserve">Migration effort; team retraining; data continuity</t>
  </si>
  <si>
    <t xml:space="preserve">[{"type":"cost_reduction", "source":"tool_subscription", "annual_savings_k":120, "one_time_cost_k":30, "realization_months":3}]</t>
  </si>
  <si>
    <t xml:space="preserve">3-month migration</t>
  </si>
  <si>
    <t xml:space="preserve">OPP-044</t>
  </si>
  <si>
    <t xml:space="preserve">Consolidate paid platforms under single agency or team</t>
  </si>
  <si>
    <t xml:space="preserve">Spend fragmented across multiple agencies/teams creates coordination overhead and prevents holistic optimization.</t>
  </si>
  <si>
    <t xml:space="preserve">Current agency/team distribution; coordination cost; portfolio optimization potential</t>
  </si>
  <si>
    <t xml:space="preserve">Industry agency consolidation benchmarks</t>
  </si>
  <si>
    <t xml:space="preserve">3+ agencies/teams managing paid AND coordination cost high AND consolidation feasible</t>
  </si>
  <si>
    <t xml:space="preserve">Existing relationships disruption; transition risk</t>
  </si>
  <si>
    <t xml:space="preserve">OPP-045</t>
  </si>
  <si>
    <t xml:space="preserve">Org structure</t>
  </si>
  <si>
    <t xml:space="preserve">Hire dedicated Growth Marketing leader</t>
  </si>
  <si>
    <t xml:space="preserve">Senior leadership gap on growth function. Hire VP/Director of Growth to own funnel optimization, experimentation, and data-driven decisions.</t>
  </si>
  <si>
    <t xml:space="preserve">Current org structure; growth function ownership; performance gaps</t>
  </si>
  <si>
    <t xml:space="preserve">Industry compensation benchmarks; talent market</t>
  </si>
  <si>
    <t xml:space="preserve">No senior growth ownership AND growth metrics underperforming AND budget for hire</t>
  </si>
  <si>
    <t xml:space="preserve">Hiring difficulty; long ramp; cultural fit critical</t>
  </si>
  <si>
    <t xml:space="preserve">[{"type":"curve_shift", "channel":"portfolio", "shift_type":"multiplicative", "shift_magnitude":1.08, "ramp_months":9, "confidence_range":[1.04, 1.14]}]</t>
  </si>
  <si>
    <t xml:space="preserve">6-month hire + ramp</t>
  </si>
  <si>
    <t xml:space="preserve">OPP-046</t>
  </si>
  <si>
    <t xml:space="preserve">Build data engineering function for marketing</t>
  </si>
  <si>
    <t xml:space="preserve">Marketing data is fragmented and analyst-blocked. Dedicated data engineering function unblocks analytics, attribution, personalization.</t>
  </si>
  <si>
    <t xml:space="preserve">Current data infrastructure; analyst time on data wrangling; integration backlog</t>
  </si>
  <si>
    <t xml:space="preserve">Industry MarTech engineering benchmarks</t>
  </si>
  <si>
    <t xml:space="preserve">Data wrangling &gt; 30% of analyst time AND integration backlog significant</t>
  </si>
  <si>
    <t xml:space="preserve">Hiring difficulty; tooling investment; ongoing operating cost</t>
  </si>
  <si>
    <t xml:space="preserve">OPP-047</t>
  </si>
  <si>
    <t xml:space="preserve">Process</t>
  </si>
  <si>
    <t xml:space="preserve">Implement structured testing program</t>
  </si>
  <si>
    <t xml:space="preserve">Move from ad-hoc testing to disciplined experimentation calendar with statistical rigor. Lifts long-term performance through compound learning.</t>
  </si>
  <si>
    <t xml:space="preserve">Current test cadence; statistical methodology; documented learnings</t>
  </si>
  <si>
    <t xml:space="preserve">Industry testing program benchmarks</t>
  </si>
  <si>
    <t xml:space="preserve">Tests run ad-hoc AND no documented learning library AND volume supports experimentation</t>
  </si>
  <si>
    <t xml:space="preserve">Cultural shift; team training; tooling for test management</t>
  </si>
  <si>
    <t xml:space="preserve">[{"type":"curve_shift", "channel":"portfolio", "shift_type":"multiplicative", "shift_magnitude":1.05, "ramp_months":3, "confidence_range":[1.02, 1.08]}]</t>
  </si>
  <si>
    <t xml:space="preserve">3-month rollout</t>
  </si>
  <si>
    <t xml:space="preserve">OPP-048</t>
  </si>
  <si>
    <t xml:space="preserve">Restructure creative briefing process</t>
  </si>
  <si>
    <t xml:space="preserve">Creative briefs are inconsistent, leading to rework and slow turnaround. Implement structured briefing template and approval workflow.</t>
  </si>
  <si>
    <t xml:space="preserve">Current brief quality; rework rate; cycle time</t>
  </si>
  <si>
    <t xml:space="preserve">Industry creative process benchmarks</t>
  </si>
  <si>
    <t xml:space="preserve">Creative rework rate &gt; 30% AND no structured brief template</t>
  </si>
  <si>
    <t xml:space="preserve">Adoption challenges; team training</t>
  </si>
  <si>
    <t xml:space="preserve">OPP-049</t>
  </si>
  <si>
    <t xml:space="preserve">Data infrastructure</t>
  </si>
  <si>
    <t xml:space="preserve">Implement server-side tagging (CAPI + sGTM)</t>
  </si>
  <si>
    <t xml:space="preserve">Recover conversions lost to iOS 14+/browser blocking. Server-side tagging restores attribution signal for Meta, Google, others.</t>
  </si>
  <si>
    <t xml:space="preserve">Current tagging architecture; attribution signal loss estimate; technical capability</t>
  </si>
  <si>
    <t xml:space="preserve">Industry CAPI implementation data; vendor benchmarks</t>
  </si>
  <si>
    <t xml:space="preserve">Heavy iOS user base AND Meta/Google attribution signal loss &gt; 10%</t>
  </si>
  <si>
    <t xml:space="preserve">Implementation complexity; ongoing maintenance</t>
  </si>
  <si>
    <t xml:space="preserve">[{"type":"curve_shift", "channel":"meta-pros", "shift_type":"multiplicative", "shift_magnitude":1.12, "ramp_months":2, "confidence_range":[1.08, 1.16]}, {"type":"curve_shift", "channel":"meta-rt", "shift_type":"multiplicative", "shift_magnitude":1.15, "ramp_months":2, "confidence_range":[1.1, 1.2]}, {"type":"curve_shift", "channel":"nb-search", "shift_type":"multiplicative", "shift_magnitude":1.05, "ramp_months":2, "confidence_range":[1.02, 1.08]}]</t>
  </si>
  <si>
    <t xml:space="preserve">2-4 month implementation</t>
  </si>
  <si>
    <t xml:space="preserve">OPP-050</t>
  </si>
  <si>
    <t xml:space="preserve">Implement identity resolution / customer 360</t>
  </si>
  <si>
    <t xml:space="preserve">Multiple customer IDs (email, device, anonymous) need stitching. Identity resolution enables true cross-channel measurement and personalization.</t>
  </si>
  <si>
    <t xml:space="preserve">Current identity infrastructure; customer ID fragmentation; use case demand</t>
  </si>
  <si>
    <t xml:space="preserve">Industry identity resolution benchmarks</t>
  </si>
  <si>
    <t xml:space="preserve">Customer fragmented across 3+ ID spaces AND personalization/measurement use cases</t>
  </si>
  <si>
    <t xml:space="preserve">Privacy compliance; data architecture complexity; vendor selection</t>
  </si>
  <si>
    <t xml:space="preserve">OPP-051</t>
  </si>
  <si>
    <t xml:space="preserve">Build data warehouse / lakehouse for marketing data</t>
  </si>
  <si>
    <t xml:space="preserve">Centralize marketing data in modern warehouse (Snowflake/Databricks) for unified analytics, attribution, and downstream activation.</t>
  </si>
  <si>
    <t xml:space="preserve">Current data architecture; data sources; analytical bottlenecks</t>
  </si>
  <si>
    <t xml:space="preserve">Industry warehouse benchmarks</t>
  </si>
  <si>
    <t xml:space="preserve">Marketing data spread across 5+ systems AND analyst capacity constrained AND budget available</t>
  </si>
  <si>
    <t xml:space="preserve">Major investment; team capability; ongoing cost</t>
  </si>
  <si>
    <t xml:space="preserve">OPP-052</t>
  </si>
  <si>
    <t xml:space="preserve">Strategic-Cost</t>
  </si>
  <si>
    <t xml:space="preserve">Agency renegotiation</t>
  </si>
  <si>
    <t xml:space="preserve">Renegotiate media agency contract or move to performance fee</t>
  </si>
  <si>
    <t xml:space="preserve">Current agency fee % above industry benchmark for spend tier. Renegotiate to standard rate or move to performance-based structure.</t>
  </si>
  <si>
    <t xml:space="preserve">Current agency fee structure; spend volume; market benchmarks</t>
  </si>
  <si>
    <t xml:space="preserve">Industry agency fee benchmarks; competitive vendor data</t>
  </si>
  <si>
    <t xml:space="preserve">CFO</t>
  </si>
  <si>
    <t xml:space="preserve">Agency fee &gt; industry median for spend tier AND contract renewal window or termination clause</t>
  </si>
  <si>
    <t xml:space="preserve">Service degradation risk; transition cost if change agency</t>
  </si>
  <si>
    <t xml:space="preserve">[{"type":"cost_reduction", "source":"agency_fees", "annual_savings_k":400, "one_time_cost_k":0, "realization_months":3}]</t>
  </si>
  <si>
    <t xml:space="preserve">contract renewal</t>
  </si>
  <si>
    <t xml:space="preserve">OPP-053</t>
  </si>
  <si>
    <t xml:space="preserve">Agency replacement</t>
  </si>
  <si>
    <t xml:space="preserve">Replace underperforming agency</t>
  </si>
  <si>
    <t xml:space="preserve">Agency consistently delivering below benchmark performance with no improvement. RFP and replace.</t>
  </si>
  <si>
    <t xml:space="preserve">Performance vs benchmark; agency tenure; alternative agency landscape</t>
  </si>
  <si>
    <t xml:space="preserve">Industry agency landscape; performance benchmarks</t>
  </si>
  <si>
    <t xml:space="preserve">Performance below benchmark for 6+ months AND no improvement plan AND viable alternatives</t>
  </si>
  <si>
    <t xml:space="preserve">Transition cost; team disruption; learning curve for new agency</t>
  </si>
  <si>
    <t xml:space="preserve">[{"type":"cost_reduction", "source":"agency_fees", "annual_savings_k":300, "one_time_cost_k":100, "realization_months":6}]</t>
  </si>
  <si>
    <t xml:space="preserve">OPP-054</t>
  </si>
  <si>
    <t xml:space="preserve">Tool consolidation</t>
  </si>
  <si>
    <t xml:space="preserve">Eliminate redundant SaaS subscriptions</t>
  </si>
  <si>
    <t xml:space="preserve">Audit reveals overlapping tool subscriptions or unused licenses. Consolidate to reduce cost.</t>
  </si>
  <si>
    <t xml:space="preserve">SaaS subscription inventory; usage data; functional overlap analysis</t>
  </si>
  <si>
    <t xml:space="preserve">Industry SaaS spend benchmarks</t>
  </si>
  <si>
    <t xml:space="preserve">Tool count &gt; expected for marketing function size AND usage audit reveals overlap/unused</t>
  </si>
  <si>
    <t xml:space="preserve">Migration effort; team retraining; vendor relationship</t>
  </si>
  <si>
    <t xml:space="preserve">[{"type":"cost_reduction", "source":"tool_subscription", "annual_savings_k":100, "one_time_cost_k":20, "realization_months":3}]</t>
  </si>
  <si>
    <t xml:space="preserve">OPP-055</t>
  </si>
  <si>
    <t xml:space="preserve">Adtech contract</t>
  </si>
  <si>
    <t xml:space="preserve">Renegotiate DSP/SSP minimums and rates</t>
  </si>
  <si>
    <t xml:space="preserve">Programmatic platform contracts often have negotiable minimums and take rates at scale. Renegotiate at renewal.</t>
  </si>
  <si>
    <t xml:space="preserve">Current programmatic spend; contract terms; renewal timing</t>
  </si>
  <si>
    <t xml:space="preserve">Industry adtech rate benchmarks</t>
  </si>
  <si>
    <t xml:space="preserve">Programmatic spend &gt; $1M annually AND contract renewal in 6 months AND market rate intelligence available</t>
  </si>
  <si>
    <t xml:space="preserve">Negotiation leverage requires alternatives ready</t>
  </si>
  <si>
    <t xml:space="preserve">[{"type":"cost_reduction", "source":"adtech_minimums", "annual_savings_k":120, "one_time_cost_k":0, "realization_months":2}]</t>
  </si>
  <si>
    <t xml:space="preserve">OPP-056</t>
  </si>
  <si>
    <t xml:space="preserve">Supply path optimization</t>
  </si>
  <si>
    <t xml:space="preserve">Optimize programmatic supply path (SPO)</t>
  </si>
  <si>
    <t xml:space="preserve">Programmatic supply chain has multiple intermediaries each taking margin. Direct/PMP deals reduce take rates.</t>
  </si>
  <si>
    <t xml:space="preserve">Current supply path analysis; programmatic spend; SSP relationships</t>
  </si>
  <si>
    <t xml:space="preserve">Industry SPO benchmarks</t>
  </si>
  <si>
    <t xml:space="preserve">Programmatic spend &gt; $500K AND no current SPO program AND publisher relationships actionable</t>
  </si>
  <si>
    <t xml:space="preserve">Operational complexity; reporting fragmentation</t>
  </si>
  <si>
    <t xml:space="preserve">[{"type":"cost_reduction", "source":"programmatic_take_rate", "annual_savings_k":150, "one_time_cost_k":30, "realization_months":4}]</t>
  </si>
  <si>
    <t xml:space="preserve">OPP-057</t>
  </si>
  <si>
    <t xml:space="preserve">Production cost</t>
  </si>
  <si>
    <t xml:space="preserve">Move creative production to lower-cost model</t>
  </si>
  <si>
    <t xml:space="preserve">High-cost agency production for high-volume needs. Mix in lower-cost models (in-house templates, freelance, AI-assisted) for appropriate work.</t>
  </si>
  <si>
    <t xml:space="preserve">Current production cost structure; volume/quality tier mix; in-house capability</t>
  </si>
  <si>
    <t xml:space="preserve">Industry production cost benchmarks</t>
  </si>
  <si>
    <t xml:space="preserve">Production cost per asset &gt; industry median AND volume justifies tiered model</t>
  </si>
  <si>
    <t xml:space="preserve">Quality control across models; brand consistency</t>
  </si>
  <si>
    <t xml:space="preserve">[{"type":"cost_reduction", "source":"production", "annual_savings_k":150, "one_time_cost_k":30, "realization_months":3}]</t>
  </si>
  <si>
    <t xml:space="preserve">OPP-058</t>
  </si>
  <si>
    <t xml:space="preserve">Insourcing</t>
  </si>
  <si>
    <t xml:space="preserve">Insource SEO function from agency</t>
  </si>
  <si>
    <t xml:space="preserve">SEO often a candidate for insourcing — fewer specialist needs than paid media, more strategic to brand. Reduces ongoing cost.</t>
  </si>
  <si>
    <t xml:space="preserve">Current SEO agency cost; in-house capability; SEO program complexity</t>
  </si>
  <si>
    <t xml:space="preserve">Industry SEO function benchmarks</t>
  </si>
  <si>
    <t xml:space="preserve">SEO agency cost &gt; $100K/year AND in-house capability buildable AND SEO is strategic priority</t>
  </si>
  <si>
    <t xml:space="preserve">Senior SEO talent scarce; ramp time</t>
  </si>
  <si>
    <t xml:space="preserve">[{"type":"cost_reduction", "source":"agency_fees", "annual_savings_k":120, "one_time_cost_k":60, "realization_months":6}]</t>
  </si>
  <si>
    <t xml:space="preserve">OPP-059</t>
  </si>
  <si>
    <t xml:space="preserve">Volume discount</t>
  </si>
  <si>
    <t xml:space="preserve">Renegotiate platform terms at higher commitment tier</t>
  </si>
  <si>
    <t xml:space="preserve">Major platforms (Google, Meta, LinkedIn, TikTok) offer better terms at higher commitment tiers. Consolidate spend to access better rates.</t>
  </si>
  <si>
    <t xml:space="preserve">Current platform spend distribution; commitment levels; rate cards</t>
  </si>
  <si>
    <t xml:space="preserve">Platform rate intelligence</t>
  </si>
  <si>
    <t xml:space="preserve">Platform spend within reach of next tier AND consolidation possible without hurting performance</t>
  </si>
  <si>
    <t xml:space="preserve">Concentration risk; reduced flexibility</t>
  </si>
  <si>
    <t xml:space="preserve">[{"type":"cost_reduction", "source":"adtech_minimums", "annual_savings_k":100, "one_time_cost_k":0, "realization_months":2}]</t>
  </si>
  <si>
    <t xml:space="preserve">OPP-060</t>
  </si>
  <si>
    <t xml:space="preserve">Make vs buy</t>
  </si>
  <si>
    <t xml:space="preserve">Make-vs-buy review on data/research subscriptions</t>
  </si>
  <si>
    <t xml:space="preserve">Some data/research subscriptions can be replaced by internal data + analysis at lower long-term cost.</t>
  </si>
  <si>
    <t xml:space="preserve">Current subscription cost; internal capability to replicate; usage value</t>
  </si>
  <si>
    <t xml:space="preserve">Industry data subscription benchmarks</t>
  </si>
  <si>
    <t xml:space="preserve">Subscription cost &gt; $30K/year AND internal capability exists AND usage measurable</t>
  </si>
  <si>
    <t xml:space="preserve">Loss of vendor expertise; team capacity to replace</t>
  </si>
  <si>
    <t xml:space="preserve">[{"type":"cost_reduction", "source":"tool_subscription", "annual_savings_k":60, "one_time_cost_k":20, "realization_months":4}]</t>
  </si>
  <si>
    <t xml:space="preserve">OPP-061</t>
  </si>
  <si>
    <t xml:space="preserve">Strategic-CX</t>
  </si>
  <si>
    <t xml:space="preserve">Platform replacement</t>
  </si>
  <si>
    <t xml:space="preserve">Replatform commerce stack (e.g., Shopify Plus, BigCommerce Enterprise)</t>
  </si>
  <si>
    <t xml:space="preserve">Current commerce platform limits checkout customization, performance, integrations. Upgrade to enterprise tier for unlocked capability.</t>
  </si>
  <si>
    <t xml:space="preserve">Current platform; identified limitations; replatform business case</t>
  </si>
  <si>
    <t xml:space="preserve">Industry replatform benchmarks; competitive feature analysis</t>
  </si>
  <si>
    <t xml:space="preserve">Platform limits identified AND impact &gt; $500K/year AND budget for migration</t>
  </si>
  <si>
    <t xml:space="preserve">Migration risk (downtime, data loss, SEO impact); 4-6 month project</t>
  </si>
  <si>
    <t xml:space="preserve">4-6 month migration</t>
  </si>
  <si>
    <t xml:space="preserve">OPP-062</t>
  </si>
  <si>
    <t xml:space="preserve">Checkout optimization</t>
  </si>
  <si>
    <t xml:space="preserve">Implement one-page or accelerated checkout</t>
  </si>
  <si>
    <t xml:space="preserve">Multi-step checkout drives mobile abandonment. One-page or accelerated (Shop Pay, Apple Pay default) lifts CVR materially.</t>
  </si>
  <si>
    <t xml:space="preserve">Current checkout flow; mobile abandonment rate; platform capability</t>
  </si>
  <si>
    <t xml:space="preserve">Industry checkout benchmarks</t>
  </si>
  <si>
    <t xml:space="preserve">Mobile abandonment &gt; 70% AND multi-step checkout AND platform supports one-page</t>
  </si>
  <si>
    <t xml:space="preserve">Implementation complexity; testing required; payment processor coordination</t>
  </si>
  <si>
    <t xml:space="preserve">[{"type":"cx_lift", "metric":"cvr", "lift_multiplier":1.06, "applies_to_channels":"all", "confidence_range":[1.03, 1.09], "ramp_months":3}]</t>
  </si>
  <si>
    <t xml:space="preserve">3-month implementation</t>
  </si>
  <si>
    <t xml:space="preserve">OPP-063</t>
  </si>
  <si>
    <t xml:space="preserve">Personalization</t>
  </si>
  <si>
    <t xml:space="preserve">Implement product recommendation engine</t>
  </si>
  <si>
    <t xml:space="preserve">Personalized product recommendations on site, email, ads lift CVR and AOV. Multiple vendor and build options.</t>
  </si>
  <si>
    <t xml:space="preserve">Product catalog size; visit volume; current recommendation maturity</t>
  </si>
  <si>
    <t xml:space="preserve">Industry recommendation benchmarks</t>
  </si>
  <si>
    <t xml:space="preserve">Catalog &gt; 100 SKUs AND visit volume sufficient AND current recommendations basic</t>
  </si>
  <si>
    <t xml:space="preserve">Implementation complexity; algorithm quality variable</t>
  </si>
  <si>
    <t xml:space="preserve">[{"type":"cx_lift", "metric":"aov", "lift_multiplier":1.08, "applies_to_channels":"all", "confidence_range":[1.04, 1.12], "ramp_months":4}]</t>
  </si>
  <si>
    <t xml:space="preserve">OPP-064</t>
  </si>
  <si>
    <t xml:space="preserve">Loyalty program</t>
  </si>
  <si>
    <t xml:space="preserve">Launch or restructure loyalty program</t>
  </si>
  <si>
    <t xml:space="preserve">Loyalty program drives repeat purchase and LTV. New launch or restructure of underperforming existing program.</t>
  </si>
  <si>
    <t xml:space="preserve">Current LTV; repeat purchase rate; existing loyalty maturity</t>
  </si>
  <si>
    <t xml:space="preserve">Industry loyalty benchmarks; competitor programs</t>
  </si>
  <si>
    <t xml:space="preserve">Repeat purchase rate &lt; industry median AND product fits repeat-purchase economics</t>
  </si>
  <si>
    <t xml:space="preserve">Program economics design; redemption liability; technology platform</t>
  </si>
  <si>
    <t xml:space="preserve">[{"type":"cx_lift", "metric":"ltv", "lift_multiplier":1.15, "applies_to_channels":"all", "confidence_range":[1.08, 1.22], "ramp_months":6}]</t>
  </si>
  <si>
    <t xml:space="preserve">OPP-065</t>
  </si>
  <si>
    <t xml:space="preserve">Returns/post-purchase</t>
  </si>
  <si>
    <t xml:space="preserve">Implement dedicated returns experience platform</t>
  </si>
  <si>
    <t xml:space="preserve">Poor returns experience hurts CSAT, repeat purchase, and brand equity. Dedicated platform (Loop, Returnly, AfterShip Returns) improves materially.</t>
  </si>
  <si>
    <t xml:space="preserve">Current return rate; CSAT impact; return process maturity</t>
  </si>
  <si>
    <t xml:space="preserve">Industry returns benchmarks</t>
  </si>
  <si>
    <t xml:space="preserve">Return rate &gt; 10% AND current returns process manual AND CSAT impact identified</t>
  </si>
  <si>
    <t xml:space="preserve">Operations integration; warehouse process change</t>
  </si>
  <si>
    <t xml:space="preserve">[{"type":"cx_lift", "metric":"repeat_rate", "lift_multiplier":1.05, "applies_to_channels":"all", "confidence_range":[1.02, 1.08], "ramp_months":3}]</t>
  </si>
  <si>
    <t xml:space="preserve">OPP-066</t>
  </si>
  <si>
    <t xml:space="preserve">Subscription model</t>
  </si>
  <si>
    <t xml:space="preserve">Launch subscription/recurring revenue model</t>
  </si>
  <si>
    <t xml:space="preserve">Add subscription option for repeat-purchase products. Lifts LTV, predictability, and reduces CAC payback time.</t>
  </si>
  <si>
    <t xml:space="preserve">Product fit for subscription; current repeat behavior; tech infrastructure</t>
  </si>
  <si>
    <t xml:space="preserve">Industry subscription benchmarks; competitive landscape</t>
  </si>
  <si>
    <t xml:space="preserve">Product naturally repurchased AND subscription tech available AND value prop exists</t>
  </si>
  <si>
    <t xml:space="preserve">Cannibalizes one-time purchases; churn management; customer support load</t>
  </si>
  <si>
    <t xml:space="preserve">[{"type":"cx_lift", "metric":"ltv", "lift_multiplier":1.25, "applies_to_channels":"all", "confidence_range":[1.15, 1.35], "ramp_months":6}]</t>
  </si>
  <si>
    <t xml:space="preserve">6-month launch</t>
  </si>
  <si>
    <t xml:space="preserve">OPP-067</t>
  </si>
  <si>
    <t xml:space="preserve">Mobile app</t>
  </si>
  <si>
    <t xml:space="preserve">Build native mobile app for repeat customers</t>
  </si>
  <si>
    <t xml:space="preserve">Native app drives higher repeat rate, AOV, and lifetime value vs mobile web. High development cost, ongoing maintenance.</t>
  </si>
  <si>
    <t xml:space="preserve">Current mobile traffic; repeat customer base; competitive landscape</t>
  </si>
  <si>
    <t xml:space="preserve">Industry app economics benchmarks</t>
  </si>
  <si>
    <t xml:space="preserve">Repeat customer base sufficient AND mobile traffic significant AND development resources</t>
  </si>
  <si>
    <t xml:space="preserve">Major investment; ongoing development cost; user acquisition challenge</t>
  </si>
  <si>
    <t xml:space="preserve">[{"type":"cx_lift", "metric":"ltv", "lift_multiplier":1.12, "applies_to_channels":"all", "confidence_range":[1.06, 1.2], "ramp_months":9}]</t>
  </si>
  <si>
    <t xml:space="preserve">9-12 month build</t>
  </si>
  <si>
    <t xml:space="preserve">OPP-068</t>
  </si>
  <si>
    <t xml:space="preserve">Email/lifecycle</t>
  </si>
  <si>
    <t xml:space="preserve">Build comprehensive lifecycle email program</t>
  </si>
  <si>
    <t xml:space="preserve">Move from broadcast email to lifecycle-based automation (welcome series, browse abandon, post-purchase, win-back). Lifts owned-channel revenue.</t>
  </si>
  <si>
    <t xml:space="preserve">Current email program maturity; ESP capability; segmentation data</t>
  </si>
  <si>
    <t xml:space="preserve">Industry email lifecycle benchmarks</t>
  </si>
  <si>
    <t xml:space="preserve">Email program is broadcast-only AND ESP supports automation AND list health adequate</t>
  </si>
  <si>
    <t xml:space="preserve">List quality dependence; deliverability management</t>
  </si>
  <si>
    <t xml:space="preserve">[{"type":"new_channel", "channel_id":"lifecycle_email", "channel_name":"Lifecycle email", "test_spend_k":50, "peak_marginal_roi":3.5, "saturation_k":200, "confidence":"high", "ramp_months":3}]</t>
  </si>
  <si>
    <t xml:space="preserve">OPP-069</t>
  </si>
  <si>
    <t xml:space="preserve">SMS/messaging</t>
  </si>
  <si>
    <t xml:space="preserve">Add SMS/messaging channel for high-engagement audience</t>
  </si>
  <si>
    <t xml:space="preserve">SMS delivers near-100% open rate. Effective for time-sensitive communications, abandoned cart, transactional, loyalty.</t>
  </si>
  <si>
    <t xml:space="preserve">Current SMS opt-in rate; messaging use cases; compliance readiness</t>
  </si>
  <si>
    <t xml:space="preserve">Industry SMS benchmarks</t>
  </si>
  <si>
    <t xml:space="preserve">Opt-in collection in place AND use cases identified AND compliance/regulation manageable</t>
  </si>
  <si>
    <t xml:space="preserve">TCPA compliance; opt-in friction; channel fatigue risk</t>
  </si>
  <si>
    <t xml:space="preserve">[{"type":"new_channel", "channel_id":"sms", "channel_name":"SMS/messaging", "test_spend_k":40, "peak_marginal_roi":3.2, "saturation_k":180, "confidence":"medium", "ramp_months":2}]</t>
  </si>
  <si>
    <t xml:space="preserve">OPP-070</t>
  </si>
  <si>
    <t xml:space="preserve">Site speed</t>
  </si>
  <si>
    <t xml:space="preserve">Optimize site performance (Core Web Vitals)</t>
  </si>
  <si>
    <t xml:space="preserve">Site speed directly impacts CVR and SEO. Performance optimization (image compression, code splitting, CDN) lifts both.</t>
  </si>
  <si>
    <t xml:space="preserve">Current Core Web Vitals scores; CVR by site speed; technical debt</t>
  </si>
  <si>
    <t xml:space="preserve">Industry site speed benchmarks</t>
  </si>
  <si>
    <t xml:space="preserve">LCP &gt; 2.5s OR CLS &gt; 0.1 OR FID &gt; 100ms AND CVR variance with speed</t>
  </si>
  <si>
    <t xml:space="preserve">Engineering capacity; risk of regression</t>
  </si>
  <si>
    <t xml:space="preserve">[{"type":"cx_lift", "metric":"cvr", "lift_multiplier":1.04, "applies_to_channels":"all", "confidence_range":[1.02, 1.07], "ramp_months":2}]</t>
  </si>
  <si>
    <t xml:space="preserve">OPP-071</t>
  </si>
  <si>
    <t xml:space="preserve">Defensive</t>
  </si>
  <si>
    <t xml:space="preserve">Privacy compliance</t>
  </si>
  <si>
    <t xml:space="preserve">Achieve GDPR/CCPA/state-law privacy compliance</t>
  </si>
  <si>
    <t xml:space="preserve">Patchwork of state privacy laws (CCPA, CPRA, VCDPA, etc.) creates compliance gap. Comprehensive program reduces legal and operational risk.</t>
  </si>
  <si>
    <t xml:space="preserve">Current compliance posture; data flows; geographic exposure</t>
  </si>
  <si>
    <t xml:space="preserve">Regulatory landscape data; industry compliance benchmarks</t>
  </si>
  <si>
    <t xml:space="preserve">Legal/CMO</t>
  </si>
  <si>
    <t xml:space="preserve">Multi-state operation AND compliance gap identified AND regulatory risk material</t>
  </si>
  <si>
    <t xml:space="preserve">Legal exposure; technology investment; ongoing maintenance</t>
  </si>
  <si>
    <t xml:space="preserve">[{"type":"curve_shift", "channel":"portfolio", "shift_type":"multiplicative", "shift_magnitude":1.02, "ramp_months":6, "confidence_range":[1.0, 1.04]}]</t>
  </si>
  <si>
    <t xml:space="preserve">3-6 month rollout</t>
  </si>
  <si>
    <t xml:space="preserve">OPP-072</t>
  </si>
  <si>
    <t xml:space="preserve">Cookieless prep</t>
  </si>
  <si>
    <t xml:space="preserve">Prepare for cookie deprecation / privacy sandbox</t>
  </si>
  <si>
    <t xml:space="preserve">Third-party cookies deprecating. First-party data, server-side tagging, consent management, modeled conversions all need investment.</t>
  </si>
  <si>
    <t xml:space="preserve">Current cookie dependence; first-party data maturity; alternative infrastructure</t>
  </si>
  <si>
    <t xml:space="preserve">Industry cookieless transition data</t>
  </si>
  <si>
    <t xml:space="preserve">Heavy reliance on third-party cookies AND first-party data underdeveloped</t>
  </si>
  <si>
    <t xml:space="preserve">Industry direction still uncertain; over-investment risk</t>
  </si>
  <si>
    <t xml:space="preserve">[{"type":"curve_shift", "channel":"portfolio", "shift_type":"multiplicative", "shift_magnitude":1.04, "ramp_months":9, "confidence_range":[1.01, 1.07]}]</t>
  </si>
  <si>
    <t xml:space="preserve">OPP-073</t>
  </si>
  <si>
    <t xml:space="preserve">Brand safety</t>
  </si>
  <si>
    <t xml:space="preserve">Implement comprehensive brand safety controls</t>
  </si>
  <si>
    <t xml:space="preserve">Programmatic, social, and creator channels carry brand safety risk. Implement controls (verification vendors, allowlists, content review).</t>
  </si>
  <si>
    <t xml:space="preserve">Current brand safety posture; channel risk profile; incident history</t>
  </si>
  <si>
    <t xml:space="preserve">Industry brand safety benchmarks</t>
  </si>
  <si>
    <t xml:space="preserve">Programmatic + social spend AND no comprehensive brand safety program</t>
  </si>
  <si>
    <t xml:space="preserve">Performance trade-off (controls reduce reach); ongoing vendor cost</t>
  </si>
  <si>
    <t xml:space="preserve">[{"type":"curve_shift", "channel":"portfolio", "shift_type":"multiplicative", "shift_magnitude":1.01, "ramp_months":3, "confidence_range":[1.0, 1.03]}]</t>
  </si>
  <si>
    <t xml:space="preserve">OPP-074</t>
  </si>
  <si>
    <t xml:space="preserve">Attribution hardening</t>
  </si>
  <si>
    <t xml:space="preserve">Strengthen attribution methodology against signal loss</t>
  </si>
  <si>
    <t xml:space="preserve">Attribution increasingly uncertain due to privacy changes. Invest in MMM, incrementality testing, modeled conversions for resilience.</t>
  </si>
  <si>
    <t xml:space="preserve">Current attribution methodology; signal loss exposure; analyst capability</t>
  </si>
  <si>
    <t xml:space="preserve">Industry attribution methodology benchmarks</t>
  </si>
  <si>
    <t xml:space="preserve">Attribution heavily dependent on platform data AND signal loss material AND budget available</t>
  </si>
  <si>
    <t xml:space="preserve">Methodology shift complex; team retraining</t>
  </si>
  <si>
    <t xml:space="preserve">[{"type":"curve_shift", "channel":"portfolio", "shift_type":"multiplicative", "shift_magnitude":1.03, "ramp_months":6, "confidence_range":[1.01, 1.06]}]</t>
  </si>
  <si>
    <t xml:space="preserve">OPP-075</t>
  </si>
  <si>
    <t xml:space="preserve">Vendor concentration</t>
  </si>
  <si>
    <t xml:space="preserve">Reduce concentration on single vendor/platform</t>
  </si>
  <si>
    <t xml:space="preserve">Heavy concentration on single platform (Meta &gt; 50% of paid social, Google &gt; 80% of search) creates risk. Diversify for resilience.</t>
  </si>
  <si>
    <t xml:space="preserve">Current spend distribution; concentration metrics; platform alternatives</t>
  </si>
  <si>
    <t xml:space="preserve">Industry concentration benchmarks</t>
  </si>
  <si>
    <t xml:space="preserve">Single platform &gt; 70% of channel spend AND alternatives viable</t>
  </si>
  <si>
    <t xml:space="preserve">Performance trade-off in short term; learning curve on new platforms</t>
  </si>
  <si>
    <t xml:space="preserve">OPP-076</t>
  </si>
  <si>
    <t xml:space="preserve">Talent retention</t>
  </si>
  <si>
    <t xml:space="preserve">Implement marketing team retention program</t>
  </si>
  <si>
    <t xml:space="preserve">Marketing talent shortage; turnover costs $50-150K per role. Retention program (compensation, growth, flexibility) reduces churn.</t>
  </si>
  <si>
    <t xml:space="preserve">Current turnover rate; replacement cost; retention drivers</t>
  </si>
  <si>
    <t xml:space="preserve">Industry compensation benchmarks; retention research</t>
  </si>
  <si>
    <t xml:space="preserve">Turnover &gt; 20% AND replacement cost material AND budget for retention investment</t>
  </si>
  <si>
    <t xml:space="preserve">Compensation inflation; expectation setting</t>
  </si>
  <si>
    <t xml:space="preserve">OPP-077</t>
  </si>
  <si>
    <t xml:space="preserve">Crisis response</t>
  </si>
  <si>
    <t xml:space="preserve">Build marketing crisis response capability</t>
  </si>
  <si>
    <t xml:space="preserve">Brand crises (PR incident, viral negative, data breach) require coordinated marketing response. Pre-built playbooks and team protocols.</t>
  </si>
  <si>
    <t xml:space="preserve">Current crisis preparedness; risk surface; team training</t>
  </si>
  <si>
    <t xml:space="preserve">Industry crisis response benchmarks</t>
  </si>
  <si>
    <t xml:space="preserve">No documented crisis playbook AND brand visibility AND crisis-prone industry</t>
  </si>
  <si>
    <t xml:space="preserve">Cultural shift to preparedness; ongoing drill investment</t>
  </si>
  <si>
    <t xml:space="preserve">[{"type":"curve_shift", "channel":"portfolio", "shift_type":"multiplicative", "shift_magnitude":1.01, "ramp_months":3, "confidence_range":[1.0, 1.02]}]</t>
  </si>
  <si>
    <t xml:space="preserve">OPP-078</t>
  </si>
  <si>
    <t xml:space="preserve">Data backup/portability</t>
  </si>
  <si>
    <t xml:space="preserve">Ensure data portability across vendors</t>
  </si>
  <si>
    <t xml:space="preserve">Vendor lock-in risk if customer/campaign data isn't portable. Implement data portability standards and regular exports.</t>
  </si>
  <si>
    <t xml:space="preserve">Current data architecture; vendor lock-in risk; portability standards</t>
  </si>
  <si>
    <t xml:space="preserve">Industry portability benchmarks</t>
  </si>
  <si>
    <t xml:space="preserve">Critical data locked in vendor systems AND no portability plan</t>
  </si>
  <si>
    <t xml:space="preserve">Implementation overhead; vendor cooperation variable</t>
  </si>
  <si>
    <t xml:space="preserve">[{"type":"curve_shift", "channel":"portfolio", "shift_type":"multiplicative", "shift_magnitude":1.02, "ramp_months":3, "confidence_range":[1.0, 1.04]}]</t>
  </si>
  <si>
    <t xml:space="preserve">OPP-079</t>
  </si>
  <si>
    <t xml:space="preserve">Strategic-Pricing</t>
  </si>
  <si>
    <t xml:space="preserve">Promotional cadence</t>
  </si>
  <si>
    <t xml:space="preserve">Restructure promotional calendar to protect margin</t>
  </si>
  <si>
    <t xml:space="preserve">Excessive promotional discounting trains customers to wait. Reduce frequency, raise floor, focus on strategic moments.</t>
  </si>
  <si>
    <t xml:space="preserve">Current promo calendar; full-price vs promo mix; customer behavior</t>
  </si>
  <si>
    <t xml:space="preserve">Industry promotional benchmarks; competitor activity</t>
  </si>
  <si>
    <t xml:space="preserve">CMO/CFO</t>
  </si>
  <si>
    <t xml:space="preserve">Promo frequency &gt; industry median AND margin pressure AND customer waits for promos</t>
  </si>
  <si>
    <t xml:space="preserve">Short-term revenue dip; competitive promo pressure</t>
  </si>
  <si>
    <t xml:space="preserve">[{"type":"cx_lift", "metric":"aov", "lift_multiplier":1.06, "applies_to_channels":"all", "confidence_range":[1.02, 1.1], "ramp_months":4}]</t>
  </si>
  <si>
    <t xml:space="preserve">2-4 month rollout</t>
  </si>
  <si>
    <t xml:space="preserve">OPP-080</t>
  </si>
  <si>
    <t xml:space="preserve">Dynamic pricing</t>
  </si>
  <si>
    <t xml:space="preserve">Implement dynamic/personalized pricing</t>
  </si>
  <si>
    <t xml:space="preserve">Static pricing leaves money on the table. Dynamic pricing based on demand, customer segment, time, inventory. Lifts margin.</t>
  </si>
  <si>
    <t xml:space="preserve">Current pricing structure; demand variance; customer price sensitivity data</t>
  </si>
  <si>
    <t xml:space="preserve">Industry pricing benchmarks; competitive pricing</t>
  </si>
  <si>
    <t xml:space="preserve">Demand variance significant AND pricing currently static AND customer acceptance manageable</t>
  </si>
  <si>
    <t xml:space="preserve">Customer trust risk; pricing transparency expectations; legal in some jurisdictions</t>
  </si>
  <si>
    <t xml:space="preserve">[{"type":"cx_lift", "metric":"aov", "lift_multiplier":1.08, "applies_to_channels":"all", "confidence_range":[1.03, 1.14], "ramp_months":6}]</t>
  </si>
  <si>
    <t xml:space="preserve">OPP-081</t>
  </si>
  <si>
    <t xml:space="preserve">Bundle/upsell</t>
  </si>
  <si>
    <t xml:space="preserve">Build structured bundle and upsell program</t>
  </si>
  <si>
    <t xml:space="preserve">Increase AOV through bundling and upsell. Requires merchandising design, technology support, testing.</t>
  </si>
  <si>
    <t xml:space="preserve">Current AOV; product mix; basket analysis</t>
  </si>
  <si>
    <t xml:space="preserve">Industry bundling benchmarks</t>
  </si>
  <si>
    <t xml:space="preserve">AOV below category median AND product mix supports bundling AND tech infrastructure ready</t>
  </si>
  <si>
    <t xml:space="preserve">Cannibalization risk; complexity for customer</t>
  </si>
  <si>
    <t xml:space="preserve">[{"type":"cx_lift", "metric":"aov", "lift_multiplier":1.1, "applies_to_channels":"all", "confidence_range":[1.05, 1.15], "ramp_months":3}]</t>
  </si>
  <si>
    <t xml:space="preserve">OPP-082</t>
  </si>
  <si>
    <t xml:space="preserve">Free shipping threshold</t>
  </si>
  <si>
    <t xml:space="preserve">Optimize free shipping threshold for AOV</t>
  </si>
  <si>
    <t xml:space="preserve">Free shipping threshold drives AOV. Test threshold to find revenue-maximizing point given margin and shipping cost.</t>
  </si>
  <si>
    <t xml:space="preserve">Current threshold; AOV distribution; shipping cost structure</t>
  </si>
  <si>
    <t xml:space="preserve">Industry shipping threshold benchmarks</t>
  </si>
  <si>
    <t xml:space="preserve">AOV closely clustered near current threshold AND shipping cost calculable</t>
  </si>
  <si>
    <t xml:space="preserve">Customer expectation reset; competitive pressure</t>
  </si>
  <si>
    <t xml:space="preserve">[{"type":"cx_lift", "metric":"aov", "lift_multiplier":1.05, "applies_to_channels":"all", "confidence_range":[1.02, 1.08], "ramp_months":1}]</t>
  </si>
  <si>
    <t xml:space="preserve">OPP-083</t>
  </si>
  <si>
    <t xml:space="preserve">Strategic-Measurement</t>
  </si>
  <si>
    <t xml:space="preserve">Incrementality testing</t>
  </si>
  <si>
    <t xml:space="preserve">Run structured incrementality test program</t>
  </si>
  <si>
    <t xml:space="preserve">Most attributed conversions are not incremental. Geo holdouts, audience holdouts, and switchback tests reveal true incremental impact.</t>
  </si>
  <si>
    <t xml:space="preserve">Current attribution; geo distribution; statistical methodology</t>
  </si>
  <si>
    <t xml:space="preserve">Industry incrementality benchmarks</t>
  </si>
  <si>
    <t xml:space="preserve">Major channels never tested for incrementality AND budget for holdout cost</t>
  </si>
  <si>
    <t xml:space="preserve">Holdout cost (lost revenue during test); statistical complexity</t>
  </si>
  <si>
    <t xml:space="preserve">[{"type":"curve_shift", "channel":"portfolio", "shift_type":"multiplicative", "shift_magnitude":1.04, "ramp_months":4, "confidence_range":[1.02, 1.06]}]</t>
  </si>
  <si>
    <t xml:space="preserve">OPP-084</t>
  </si>
  <si>
    <t xml:space="preserve">MMM upgrade</t>
  </si>
  <si>
    <t xml:space="preserve">Implement or upgrade Marketing Mix Model</t>
  </si>
  <si>
    <t xml:space="preserve">Move from no-MMM or basic MMM to modern Bayesian MMM with continuous updates. Provides marginal ROI, saturation curves, scenario modeling.</t>
  </si>
  <si>
    <t xml:space="preserve">Current measurement maturity; data infrastructure; analyst capability</t>
  </si>
  <si>
    <t xml:space="preserve">Industry MMM benchmarks</t>
  </si>
  <si>
    <t xml:space="preserve">Multi-channel mix AND no MMM or basic MMM AND budget for vendor or build</t>
  </si>
  <si>
    <t xml:space="preserve">[{"type":"curve_shift", "channel":"portfolio", "shift_type":"multiplicative", "shift_magnitude":1.05, "ramp_months":6, "confidence_range":[1.02, 1.08]}]</t>
  </si>
  <si>
    <t xml:space="preserve">OPP-085</t>
  </si>
  <si>
    <t xml:space="preserve">LTV measurement</t>
  </si>
  <si>
    <t xml:space="preserve">Build customer LTV / CAC payback measurement</t>
  </si>
  <si>
    <t xml:space="preserve">Decisions made on first-purchase ROI miss long-term value. LTV/CAC framework enables better acquisition prioritization.</t>
  </si>
  <si>
    <t xml:space="preserve">Customer transaction history; cohort data; payback period assumptions</t>
  </si>
  <si>
    <t xml:space="preserve">Industry LTV benchmarks</t>
  </si>
  <si>
    <t xml:space="preserve">Repeat purchase business AND no LTV measurement AND finance partner available</t>
  </si>
  <si>
    <t xml:space="preserve">Forecasting complexity; assumptions sensitivity</t>
  </si>
  <si>
    <t xml:space="preserve">[{"type":"curve_shift", "channel":"portfolio", "shift_type":"multiplicative", "shift_magnitude":1.03, "ramp_months":3, "confidence_range":[1.01, 1.05]}]</t>
  </si>
  <si>
    <t xml:space="preserve">OPP-086</t>
  </si>
  <si>
    <t xml:space="preserve">Brand measurement</t>
  </si>
  <si>
    <t xml:space="preserve">Implement brand health tracking</t>
  </si>
  <si>
    <t xml:space="preserve">Brand metrics (awareness, consideration, preference) ignored in performance-only measurement. Brand investment justification needs data.</t>
  </si>
  <si>
    <t xml:space="preserve">Current brand measurement; brand investment level; tracking vendor options</t>
  </si>
  <si>
    <t xml:space="preserve">Industry brand tracking benchmarks</t>
  </si>
  <si>
    <t xml:space="preserve">Brand investment &gt; $500K AND no brand measurement AND vendor available for tracking</t>
  </si>
  <si>
    <t xml:space="preserve">Methodology variance; long latency to insight</t>
  </si>
  <si>
    <t xml:space="preserve">OPP-087</t>
  </si>
  <si>
    <t xml:space="preserve">Survey program</t>
  </si>
  <si>
    <t xml:space="preserve">Run continuous voice-of-customer survey program</t>
  </si>
  <si>
    <t xml:space="preserve">Quantitative data misses qualitative insight. Continuous survey program (NPS, attribution survey, segmentation) informs strategy.</t>
  </si>
  <si>
    <t xml:space="preserve">Current survey infrastructure; response rate baseline; insight gaps</t>
  </si>
  <si>
    <t xml:space="preserve">Industry survey benchmarks</t>
  </si>
  <si>
    <t xml:space="preserve">Strategic decisions made on quant only AND no survey program</t>
  </si>
  <si>
    <t xml:space="preserve">Response rate management; analysis capacity</t>
  </si>
  <si>
    <t xml:space="preserve">OPP-088</t>
  </si>
  <si>
    <t xml:space="preserve">Strategic-Content</t>
  </si>
  <si>
    <t xml:space="preserve">Content engine build</t>
  </si>
  <si>
    <t xml:space="preserve">Build editorial/content engine for organic acquisition</t>
  </si>
  <si>
    <t xml:space="preserve">Sustainable organic traffic requires consistent content investment. Build editorial team or vendor relationship for compounding asset.</t>
  </si>
  <si>
    <t xml:space="preserve">Current content output; organic traffic baseline; competitive content landscape</t>
  </si>
  <si>
    <t xml:space="preserve">Industry content marketing benchmarks; demand signals</t>
  </si>
  <si>
    <t xml:space="preserve">Organic traffic underdeveloped AND content opportunity identified AND budget for sustained investment</t>
  </si>
  <si>
    <t xml:space="preserve">Long ramp; compounding takes 12+ months</t>
  </si>
  <si>
    <t xml:space="preserve">[{"type":"curve_shift", "channel":"organic", "shift_type":"multiplicative", "shift_magnitude":1.25, "ramp_months":12, "confidence_range":[1.12, 1.4]}]</t>
  </si>
  <si>
    <t xml:space="preserve">6-month content build</t>
  </si>
  <si>
    <t xml:space="preserve">OPP-089</t>
  </si>
  <si>
    <t xml:space="preserve">SEO technical audit</t>
  </si>
  <si>
    <t xml:space="preserve">Comprehensive technical SEO audit and remediation</t>
  </si>
  <si>
    <t xml:space="preserve">Technical SEO issues (crawl, index, schema, speed, mobile) cap organic ceiling. Audit and remediation unlocks growth.</t>
  </si>
  <si>
    <t xml:space="preserve">Current SEO health; crawl/index issues; technical debt</t>
  </si>
  <si>
    <t xml:space="preserve">Industry SEO benchmarks</t>
  </si>
  <si>
    <t xml:space="preserve">Organic traffic plateau AND no recent technical audit AND development capacity</t>
  </si>
  <si>
    <t xml:space="preserve">Engineering capacity; coordination overhead</t>
  </si>
  <si>
    <t xml:space="preserve">[{"type":"curve_shift", "channel":"organic", "shift_type":"multiplicative", "shift_magnitude":1.12, "ramp_months":3, "confidence_range":[1.06, 1.18]}]</t>
  </si>
  <si>
    <t xml:space="preserve">OPP-090</t>
  </si>
  <si>
    <t xml:space="preserve">Programmatic SEO</t>
  </si>
  <si>
    <t xml:space="preserve">Build programmatic SEO content at scale</t>
  </si>
  <si>
    <t xml:space="preserve">Generate large content surface area programmatically (location pages, comparison pages, long-tail queries). Captures long-tail organic.</t>
  </si>
  <si>
    <t xml:space="preserve">Catalog/data structure; technical SEO health; query universe analysis</t>
  </si>
  <si>
    <t xml:space="preserve">Search trend data; competitive content analysis</t>
  </si>
  <si>
    <t xml:space="preserve">Catalog or data structure supports programmatic generation AND technical SEO sound</t>
  </si>
  <si>
    <t xml:space="preserve">Quality control at scale; algorithm changes; content saturation</t>
  </si>
  <si>
    <t xml:space="preserve">[{"type":"curve_shift", "channel":"organic", "shift_type":"multiplicative", "shift_magnitude":1.2, "ramp_months":6, "confidence_range":[1.08, 1.35]}]</t>
  </si>
  <si>
    <t xml:space="preserve">search_trend_data, competitor_promotional_intel</t>
  </si>
  <si>
    <t xml:space="preserve">OPP-091</t>
  </si>
  <si>
    <t xml:space="preserve">Content syndication</t>
  </si>
  <si>
    <t xml:space="preserve">Syndicate content to high-traffic third-party platforms</t>
  </si>
  <si>
    <t xml:space="preserve">Republish/adapt content for Medium, Substack, LinkedIn Articles, vertical publications to expand reach.</t>
  </si>
  <si>
    <t xml:space="preserve">Existing content library; syndication platform fit; cannibalization analysis</t>
  </si>
  <si>
    <t xml:space="preserve">Industry syndication benchmarks</t>
  </si>
  <si>
    <t xml:space="preserve">Content library exists AND target platforms relevant AND audience extension valuable</t>
  </si>
  <si>
    <t xml:space="preserve">Cannibalization of own traffic; canonicalization complexity</t>
  </si>
  <si>
    <t xml:space="preserve">[{"type":"curve_shift", "channel":"organic", "shift_type":"multiplicative", "shift_magnitude":1.08, "ramp_months":4, "confidence_range":[1.03, 1.14]}]</t>
  </si>
  <si>
    <t xml:space="preserve">OPP-092</t>
  </si>
  <si>
    <t xml:space="preserve">Strategic-Meta</t>
  </si>
  <si>
    <t xml:space="preserve">Marketing transformation</t>
  </si>
  <si>
    <t xml:space="preserve">Comprehensive marketing transformation program</t>
  </si>
  <si>
    <t xml:space="preserve">Marketing function fundamentally below benchmark — needs holistic transformation across team, tools, process, strategy.</t>
  </si>
  <si>
    <t xml:space="preserve">Current state assessment; benchmark gap; executive sponsorship</t>
  </si>
  <si>
    <t xml:space="preserve">Industry transformation benchmarks; consulting partner data</t>
  </si>
  <si>
    <t xml:space="preserve">Board/CEO</t>
  </si>
  <si>
    <t xml:space="preserve">Marketing function &gt; 30% below benchmark AND executive support AND budget for transformation</t>
  </si>
  <si>
    <t xml:space="preserve">Major undertaking; political complexity; 12-24 month timeline</t>
  </si>
  <si>
    <t xml:space="preserve">[{"type":"curve_shift", "channel":"portfolio", "shift_type":"multiplicative", "shift_magnitude":1.25, "ramp_months":18, "confidence_range":[1.1, 1.45]}]</t>
  </si>
  <si>
    <t xml:space="preserve">12-18 month program</t>
  </si>
  <si>
    <t xml:space="preserve">OPP-093</t>
  </si>
  <si>
    <t xml:space="preserve">M&amp;A integration</t>
  </si>
  <si>
    <t xml:space="preserve">Integrate marketing function from acquisition</t>
  </si>
  <si>
    <t xml:space="preserve">Post-acquisition: combine marketing teams, consolidate stack, harmonize brand strategy. Specific to M&amp;A context.</t>
  </si>
  <si>
    <t xml:space="preserve">Acquisition status; current state of both orgs; integration timeline</t>
  </si>
  <si>
    <t xml:space="preserve">Industry M&amp;A integration benchmarks</t>
  </si>
  <si>
    <t xml:space="preserve">Recent or pending acquisition AND marketing integration scope defined</t>
  </si>
  <si>
    <t xml:space="preserve">Cultural integration; talent retention; stack rationalization</t>
  </si>
  <si>
    <t xml:space="preserve">[{"type":"cost_reduction", "source":"tool_subscription", "annual_savings_k":300, "one_time_cost_k":200, "realization_months":9}]</t>
  </si>
  <si>
    <t xml:space="preserve">OPP-094</t>
  </si>
  <si>
    <t xml:space="preserve">Crisis turnaround</t>
  </si>
  <si>
    <t xml:space="preserve">Marketing turnaround following major performance decline</t>
  </si>
  <si>
    <t xml:space="preserve">Major drop in performance (channel collapse, customer flight, brand crisis) requires emergency turnaround program.</t>
  </si>
  <si>
    <t xml:space="preserve">Current performance baseline; crisis nature; turnaround time pressure</t>
  </si>
  <si>
    <t xml:space="preserve">Industry turnaround benchmarks</t>
  </si>
  <si>
    <t xml:space="preserve">CMO/CEO</t>
  </si>
  <si>
    <t xml:space="preserve">Performance decline &gt; 30% over 90 days AND clear underlying cause AND budget for response</t>
  </si>
  <si>
    <t xml:space="preserve">Time pressure; team morale; correct diagnosis essential</t>
  </si>
  <si>
    <t xml:space="preserve">[{"type":"curve_shift", "channel":"portfolio", "shift_type":"multiplicative", "shift_magnitude":1.3, "ramp_months":6, "confidence_range":[1.1, 1.55]}]</t>
  </si>
  <si>
    <t xml:space="preserve">Catalog summary</t>
  </si>
  <si>
    <t xml:space="preserve">By category</t>
  </si>
  <si>
    <t xml:space="preserve">Count</t>
  </si>
  <si>
    <t xml:space="preserve">TOTAL</t>
  </si>
  <si>
    <t xml:space="preserve">By magnitude</t>
  </si>
  <si>
    <t xml:space="preserve">Band</t>
  </si>
  <si>
    <t xml:space="preserve">S (under $50K)</t>
  </si>
  <si>
    <t xml:space="preserve">M ($50K–$250K)</t>
  </si>
  <si>
    <t xml:space="preserve">L ($250K–$1M)</t>
  </si>
  <si>
    <t xml:space="preserve">XL (over $1M)</t>
  </si>
  <si>
    <t xml:space="preserve">By confidence</t>
  </si>
  <si>
    <t xml:space="preserve">High (&gt;85%)</t>
  </si>
  <si>
    <t xml:space="preserve">Medium (70–85%)</t>
  </si>
  <si>
    <t xml:space="preserve">Low (&lt;70%)</t>
  </si>
  <si>
    <t xml:space="preserve">By decision audience</t>
  </si>
  <si>
    <t xml:space="preserve">Audience</t>
  </si>
  <si>
    <t xml:space="preserve">Vertical applicability (count of 'Y' opportunities)</t>
  </si>
  <si>
    <t xml:space="preserve">Vertical</t>
  </si>
  <si>
    <t xml:space="preserve">Primary fit (Y)</t>
  </si>
  <si>
    <t xml:space="preserve">Partial fit (P)</t>
  </si>
  <si>
    <t xml:space="preserve">Field reference</t>
  </si>
  <si>
    <t xml:space="preserve">Field</t>
  </si>
  <si>
    <t xml:space="preserve">Definition</t>
  </si>
  <si>
    <t xml:space="preserve">Unique identifier (OPP-001 through OPP-094). Used to reference opportunities in product code and across docs.</t>
  </si>
  <si>
    <t xml:space="preserve">Top-level grouping. 9 strategic categories + 1 tactical + 1 defensive.</t>
  </si>
  <si>
    <t xml:space="preserve">More specific type within category. Helps with detail-page templating.</t>
  </si>
  <si>
    <t xml:space="preserve">The recommendation in plain English, as a CMO would say it.</t>
  </si>
  <si>
    <t xml:space="preserve">2-3 sentences explaining what the move is and why it matters.</t>
  </si>
  <si>
    <t xml:space="preserve">Lower bound of typical dollar impact for a customer in our $10M–$200M marketing org range.</t>
  </si>
  <si>
    <t xml:space="preserve">Upper bound of typical dollar impact.</t>
  </si>
  <si>
    <t xml:space="preserve">Band: S (&lt;$50K), M ($50K–$250K), L ($250K–$1M), XL (&gt;$1M).</t>
  </si>
  <si>
    <t xml:space="preserve">Typical model confidence: H (&gt;85%), M (70–85%), L (&lt;70%). Strategic moves with limited historical analogue tend to be lower.</t>
  </si>
  <si>
    <t xml:space="preserve">What internal data the system needs to detect or evaluate this opportunity.</t>
  </si>
  <si>
    <t xml:space="preserve">Which of the 5 external signal types this opportunity uses: Industry CPM/CPC benchmarks, Search trend data, Macro indicators, Calendar/seasonality, Competitor promotional intelligence.</t>
  </si>
  <si>
    <t xml:space="preserve">Typical implementation timeline: Days, Weeks, Months, Quarters.</t>
  </si>
  <si>
    <t xml:space="preserve">How easily it can be undone: H (days), M (weeks-months), L (multi-month commitment).</t>
  </si>
  <si>
    <t xml:space="preserve">Who needs to sign off: Marketing Ops, Marketing Leadership, CMO, CFO, Legal/CMO, Board/CEO, CMO/CFO, CMO/CEO.</t>
  </si>
  <si>
    <t xml:space="preserve">Retail / B2B SaaS / DTC / Services</t>
  </si>
  <si>
    <t xml:space="preserve">Vertical fit: Y (primary), P (partial — applies with adaptation), N (does not apply).</t>
  </si>
  <si>
    <t xml:space="preserve">When this opportunity should surface for a customer. Used by the detection engine.</t>
  </si>
  <si>
    <t xml:space="preserve">What could go wrong. Used to inform the 'Caveats' section of detail pages.</t>
  </si>
  <si>
    <t xml:space="preserve">Team review status: Proposed (awaiting), Validated (ready), Needs review (flagged), Cut (rejected).</t>
  </si>
  <si>
    <t xml:space="preserve">Array of typed effects declared by this opportunity. Each effect describes how the opportunity modifies the marketing model. See Schema reference sheet for types and fields. Encoded as JSON string for portability.</t>
  </si>
  <si>
    <t xml:space="preserve">One-time implementation cost in thousands of dollars (platform setup, hiring, migration, etc.).</t>
  </si>
  <si>
    <t xml:space="preserve">Ongoing annual cost in thousands of dollars (team salary, vendor contracts, tool subscriptions, etc.).</t>
  </si>
  <si>
    <t xml:space="preserve">Human-readable timing description for implementation. E.g. 'immediate', '2 weeks setup', '6-month ramp'.</t>
  </si>
  <si>
    <t xml:space="preserve">Comma-separated list of opportunity IDs that must be executed first. Enforced at selection in Optimize.</t>
  </si>
  <si>
    <t xml:space="preserve">Comma-separated list of opportunity IDs that are mutually exclusive with this one. System prevents selecting both.</t>
  </si>
  <si>
    <t xml:space="preserve">Comma-separated list of external signal IDs this opportunity relies on for its evidence. See Schema reference for signal list.</t>
  </si>
  <si>
    <t xml:space="preserve">Confidence of the first-pass spec. auto-high = review briefly; auto-medium = review normally; auto-low = review carefully; empty = must define manually; team-validated = approved.</t>
  </si>
  <si>
    <t xml:space="preserve">Channel-impact schema reference</t>
  </si>
  <si>
    <t xml:space="preserve">The five effect types</t>
  </si>
  <si>
    <t xml:space="preserve">Type</t>
  </si>
  <si>
    <t xml:space="preserve">Key fields</t>
  </si>
  <si>
    <t xml:space="preserve">spend_shift</t>
  </si>
  <si>
    <t xml:space="preserve">Move money between channels</t>
  </si>
  <si>
    <t xml:space="preserve">from_channel, to_channel (or null), amount_k</t>
  </si>
  <si>
    <t xml:space="preserve">curve_shift</t>
  </si>
  <si>
    <t xml:space="preserve">Modify marginal-ROI curve shape for a channel</t>
  </si>
  <si>
    <t xml:space="preserve">channel, shift_type, shift_magnitude, ramp_months, confidence_range</t>
  </si>
  <si>
    <t xml:space="preserve">new_channel</t>
  </si>
  <si>
    <t xml:space="preserve">Add a channel not currently in the mix</t>
  </si>
  <si>
    <t xml:space="preserve">channel_id, channel_name, test_spend_k, peak_marginal_roi, saturation_k, confidence, ramp_months</t>
  </si>
  <si>
    <t xml:space="preserve">cost_reduction</t>
  </si>
  <si>
    <t xml:space="preserve">Reduce total spend without changing channel curves</t>
  </si>
  <si>
    <t xml:space="preserve">source, annual_savings_k, one_time_cost_k, realization_months</t>
  </si>
  <si>
    <t xml:space="preserve">cx_lift</t>
  </si>
  <si>
    <t xml:space="preserve">Lift revenue per conversion (CVR/AOV/LTV)</t>
  </si>
  <si>
    <t xml:space="preserve">metric, lift_multiplier, applies_to_channels, confidence_range, ramp_months</t>
  </si>
  <si>
    <t xml:space="preserve">Review status values</t>
  </si>
  <si>
    <t xml:space="preserve">Value</t>
  </si>
  <si>
    <t xml:space="preserve">Meaning</t>
  </si>
  <si>
    <t xml:space="preserve">Review priority</t>
  </si>
  <si>
    <t xml:space="preserve">Spec generated from a strong pattern (tactical SPEND_SHIFT, COST_REDUCTION) — defaults are reasonable</t>
  </si>
  <si>
    <t xml:space="preserve">Review briefly</t>
  </si>
  <si>
    <t xml:space="preserve">Spec generated from a reasonable heuristic but numbers need validation (new channels, capability changes)</t>
  </si>
  <si>
    <t xml:space="preserve">Review normally</t>
  </si>
  <si>
    <t xml:space="preserve">Spec is a rough estimate — portfolio-level curve shifts for measurement/defensive ops are educated guesses</t>
  </si>
  <si>
    <t xml:space="preserve">Review carefully</t>
  </si>
  <si>
    <t xml:space="preserve">empty</t>
  </si>
  <si>
    <t xml:space="preserve">No spec generated — category/subcategory didn't match any generator</t>
  </si>
  <si>
    <t xml:space="preserve">Must define manually</t>
  </si>
  <si>
    <t xml:space="preserve">team-validated</t>
  </si>
  <si>
    <t xml:space="preserve">After team review. Use this to mark specs the team has approved</t>
  </si>
  <si>
    <t xml:space="preserve">n/a</t>
  </si>
  <si>
    <t xml:space="preserve">External signal IDs</t>
  </si>
  <si>
    <t xml:space="preserve">Signal ID</t>
  </si>
  <si>
    <t xml:space="preserve">eMarketer / WordStream-style CPM and CPC benchmarks per channel and vertical</t>
  </si>
  <si>
    <t xml:space="preserve">Google Trends API + Semrush for demand signal validation</t>
  </si>
  <si>
    <t xml:space="preserve">Fed data, consumer confidence index — macro context for spend timing</t>
  </si>
  <si>
    <t xml:space="preserve">calendar_seasonality</t>
  </si>
  <si>
    <t xml:space="preserve">Seasonality patterns, vertical-specific events (BFCM, back-to-school, etc.)</t>
  </si>
  <si>
    <t xml:space="preserve">Competitor price/promo scraping + spend estimates (SimilarWeb, Pathmatics)</t>
  </si>
  <si>
    <t xml:space="preserve">industry_cpm_ctv</t>
  </si>
  <si>
    <t xml:space="preserve">CTV-specific CPM benchmarks (sub-signal of industry_cpm_benchmarks)</t>
  </si>
  <si>
    <t xml:space="preserve">competitor_ctv_spend</t>
  </si>
  <si>
    <t xml:space="preserve">Competitor CTV spend estimates (sub-signal of competitor_promotional_intel)</t>
  </si>
  <si>
    <t xml:space="preserve">Composition algorithm (summary)</t>
  </si>
  <si>
    <t xml:space="preserve">1. Start with baseline (9 channels with current curves, $8.40M spend, $30.19M revenue)</t>
  </si>
  <si>
    <t xml:space="preserve">2. Apply NEW_CHANNEL effects — add new curves to portfolio</t>
  </si>
  <si>
    <t xml:space="preserve">3. Apply CURVE_SHIFT effects — modify affected channel curves (multiplicative composition when multiple hit same channel)</t>
  </si>
  <si>
    <t xml:space="preserve">4. Apply SPEND_SHIFT effects + slider adjustments — compute new per-channel spend vector</t>
  </si>
  <si>
    <t xml:space="preserve">5. Compute channel revenues via integral of curves</t>
  </si>
  <si>
    <t xml:space="preserve">6. Apply CX_LIFT effects — multiply total revenue by (1 + weighted CX lifts)</t>
  </si>
  <si>
    <t xml:space="preserve">7. Apply COST_REDUCTION effects — subtract annual_savings from spend denominator</t>
  </si>
  <si>
    <t xml:space="preserve">8. Compute portfolio ROI, CAC, marginal ROI, etc.</t>
  </si>
</sst>
</file>

<file path=xl/styles.xml><?xml version="1.0" encoding="utf-8"?>
<styleSheet xmlns="http://schemas.openxmlformats.org/spreadsheetml/2006/main">
  <numFmts count="3">
    <numFmt numFmtId="164" formatCode="General"/>
    <numFmt numFmtId="165" formatCode="\$#,##0"/>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8"/>
      <color rgb="FF0F1535"/>
      <name val="Arial"/>
      <family val="0"/>
      <charset val="1"/>
    </font>
    <font>
      <sz val="10"/>
      <name val="Arial"/>
      <family val="0"/>
      <charset val="1"/>
    </font>
    <font>
      <b val="true"/>
      <sz val="12"/>
      <color rgb="FF5B3FD9"/>
      <name val="Arial"/>
      <family val="0"/>
      <charset val="1"/>
    </font>
    <font>
      <b val="true"/>
      <sz val="10"/>
      <color rgb="FFFFFFFF"/>
      <name val="Arial"/>
      <family val="0"/>
      <charset val="1"/>
    </font>
    <font>
      <sz val="9"/>
      <name val="Consolas"/>
      <family val="0"/>
      <charset val="1"/>
    </font>
    <font>
      <b val="true"/>
      <sz val="16"/>
      <color rgb="FF0F1535"/>
      <name val="Arial"/>
      <family val="0"/>
      <charset val="1"/>
    </font>
    <font>
      <b val="true"/>
      <sz val="10"/>
      <name val="Arial"/>
      <family val="0"/>
      <charset val="1"/>
    </font>
    <font>
      <b val="true"/>
      <sz val="10"/>
      <color rgb="FF5B3FD9"/>
      <name val="Consolas"/>
      <family val="0"/>
      <charset val="1"/>
    </font>
    <font>
      <b val="true"/>
      <sz val="10"/>
      <name val="Consolas"/>
      <family val="0"/>
      <charset val="1"/>
    </font>
    <font>
      <sz val="10"/>
      <color rgb="FF5B3FD9"/>
      <name val="Consolas"/>
      <family val="0"/>
      <charset val="1"/>
    </font>
  </fonts>
  <fills count="13">
    <fill>
      <patternFill patternType="none"/>
    </fill>
    <fill>
      <patternFill patternType="gray125"/>
    </fill>
    <fill>
      <patternFill patternType="solid">
        <fgColor rgb="FF0F1535"/>
        <bgColor rgb="FF000000"/>
      </patternFill>
    </fill>
    <fill>
      <patternFill patternType="solid">
        <fgColor rgb="FFEFEAFF"/>
        <bgColor rgb="FFF3E8FF"/>
      </patternFill>
    </fill>
    <fill>
      <patternFill patternType="solid">
        <fgColor rgb="FFE6F8F2"/>
        <bgColor rgb="FFD1FAE5"/>
      </patternFill>
    </fill>
    <fill>
      <patternFill patternType="solid">
        <fgColor rgb="FFFEF3C7"/>
        <bgColor rgb="FFFFEDD5"/>
      </patternFill>
    </fill>
    <fill>
      <patternFill patternType="solid">
        <fgColor rgb="FFFEE2E2"/>
        <bgColor rgb="FFFCE7F3"/>
      </patternFill>
    </fill>
    <fill>
      <patternFill patternType="solid">
        <fgColor rgb="FFDBEAFE"/>
        <bgColor rgb="FFE5E7EB"/>
      </patternFill>
    </fill>
    <fill>
      <patternFill patternType="solid">
        <fgColor rgb="FFFFEDD5"/>
        <bgColor rgb="FFFEF3C7"/>
      </patternFill>
    </fill>
    <fill>
      <patternFill patternType="solid">
        <fgColor rgb="FFF3E8FF"/>
        <bgColor rgb="FFEFEAFF"/>
      </patternFill>
    </fill>
    <fill>
      <patternFill patternType="solid">
        <fgColor rgb="FFFCE7F3"/>
        <bgColor rgb="FFF3E8FF"/>
      </patternFill>
    </fill>
    <fill>
      <patternFill patternType="solid">
        <fgColor rgb="FFECFCCB"/>
        <bgColor rgb="FFFEF3C7"/>
      </patternFill>
    </fill>
    <fill>
      <patternFill patternType="solid">
        <fgColor rgb="FFE5E7EB"/>
        <bgColor rgb="FFDBEAFE"/>
      </patternFill>
    </fill>
  </fills>
  <borders count="2">
    <border diagonalUp="false" diagonalDown="false">
      <left/>
      <right/>
      <top/>
      <bottom/>
      <diagonal/>
    </border>
    <border diagonalUp="false" diagonalDown="false">
      <left style="thin">
        <color rgb="FFD8DCE8"/>
      </left>
      <right style="thin">
        <color rgb="FFD8DCE8"/>
      </right>
      <top style="thin">
        <color rgb="FFD8DCE8"/>
      </top>
      <bottom style="thin">
        <color rgb="FFD8DC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righ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6" fontId="5" fillId="0"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left" vertical="top" textRotation="0" wrapText="true" indent="0" shrinkToFit="false"/>
      <protection locked="true" hidden="false"/>
    </xf>
    <xf numFmtId="164" fontId="5" fillId="10" borderId="1" xfId="0" applyFont="true" applyBorder="true" applyAlignment="true" applyProtection="false">
      <alignment horizontal="lef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64" fontId="5" fillId="12"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0F1535"/>
          <bgColor rgb="FF000000"/>
        </patternFill>
      </fill>
    </dxf>
    <dxf>
      <fill>
        <patternFill patternType="solid">
          <fgColor rgb="FFDBEAFE"/>
          <bgColor rgb="FF000000"/>
        </patternFill>
      </fill>
    </dxf>
    <dxf>
      <fill>
        <patternFill patternType="solid">
          <fgColor rgb="FFE5E7EB"/>
          <bgColor rgb="FF000000"/>
        </patternFill>
      </fill>
    </dxf>
    <dxf>
      <fill>
        <patternFill patternType="solid">
          <fgColor rgb="FFE6F8F2"/>
          <bgColor rgb="FF000000"/>
        </patternFill>
      </fill>
    </dxf>
    <dxf>
      <fill>
        <patternFill patternType="solid">
          <fgColor rgb="FFECFCCB"/>
          <bgColor rgb="FF000000"/>
        </patternFill>
      </fill>
    </dxf>
    <dxf>
      <fill>
        <patternFill patternType="solid">
          <fgColor rgb="FFEFEAFF"/>
          <bgColor rgb="FF000000"/>
        </patternFill>
      </fill>
    </dxf>
    <dxf>
      <fill>
        <patternFill patternType="solid">
          <fgColor rgb="FFF3E8FF"/>
          <bgColor rgb="FF000000"/>
        </patternFill>
      </fill>
    </dxf>
    <dxf>
      <fill>
        <patternFill patternType="solid">
          <fgColor rgb="FFFCE7F3"/>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FFEDD5"/>
          <bgColor rgb="FF000000"/>
        </patternFill>
      </fill>
    </dxf>
    <dxf>
      <fill>
        <patternFill patternType="solid">
          <fgColor rgb="FFFFFFFF"/>
          <bgColor rgb="FF000000"/>
        </patternFill>
      </fill>
    </dxf>
    <dxf>
      <fill>
        <patternFill patternType="solid">
          <bgColor rgb="FF000000"/>
        </patternFill>
      </fill>
    </dxf>
    <dxf>
      <fill>
        <patternFill patternType="solid">
          <fgColor rgb="FFD1FAE5"/>
          <bgColor rgb="FF000000"/>
        </patternFill>
      </fill>
    </dxf>
    <dxf>
      <fill>
        <patternFill>
          <bgColor rgb="FFD1FAE5"/>
        </patternFill>
      </fill>
    </dxf>
    <dxf>
      <fill>
        <patternFill>
          <bgColor rgb="FFFEF3C7"/>
        </patternFill>
      </fill>
    </dxf>
    <dxf>
      <fill>
        <patternFill>
          <bgColor rgb="FFFEE2E2"/>
        </patternFill>
      </fill>
    </dxf>
  </dxfs>
  <colors>
    <indexedColors>
      <rgbColor rgb="FF000000"/>
      <rgbColor rgb="FFFFFFFF"/>
      <rgbColor rgb="FFFF0000"/>
      <rgbColor rgb="FF00FF00"/>
      <rgbColor rgb="FF0000FF"/>
      <rgbColor rgb="FFFFEDD5"/>
      <rgbColor rgb="FFFF00FF"/>
      <rgbColor rgb="FF00FFFF"/>
      <rgbColor rgb="FF800000"/>
      <rgbColor rgb="FF008000"/>
      <rgbColor rgb="FF000080"/>
      <rgbColor rgb="FF808000"/>
      <rgbColor rgb="FF800080"/>
      <rgbColor rgb="FF008080"/>
      <rgbColor rgb="FFE5E7EB"/>
      <rgbColor rgb="FF808080"/>
      <rgbColor rgb="FF9999FF"/>
      <rgbColor rgb="FF993366"/>
      <rgbColor rgb="FFFEF3C7"/>
      <rgbColor rgb="FFE6F8F2"/>
      <rgbColor rgb="FF660066"/>
      <rgbColor rgb="FFFF8080"/>
      <rgbColor rgb="FF0066CC"/>
      <rgbColor rgb="FFD8DCE8"/>
      <rgbColor rgb="FF000080"/>
      <rgbColor rgb="FFFF00FF"/>
      <rgbColor rgb="FFFFFF00"/>
      <rgbColor rgb="FF00FFFF"/>
      <rgbColor rgb="FF800080"/>
      <rgbColor rgb="FF800000"/>
      <rgbColor rgb="FF008080"/>
      <rgbColor rgb="FF0000FF"/>
      <rgbColor rgb="FF00CCFF"/>
      <rgbColor rgb="FFDBEAFE"/>
      <rgbColor rgb="FFD1FAE5"/>
      <rgbColor rgb="FFECFCCB"/>
      <rgbColor rgb="FFEFEAFF"/>
      <rgbColor rgb="FFFCE7F3"/>
      <rgbColor rgb="FFF3E8FF"/>
      <rgbColor rgb="FFFEE2E2"/>
      <rgbColor rgb="FF3366FF"/>
      <rgbColor rgb="FF33CCCC"/>
      <rgbColor rgb="FF99CC00"/>
      <rgbColor rgb="FFFFCC00"/>
      <rgbColor rgb="FFFF9900"/>
      <rgbColor rgb="FFFF6600"/>
      <rgbColor rgb="FF666699"/>
      <rgbColor rgb="FF969696"/>
      <rgbColor rgb="FF0F1535"/>
      <rgbColor rgb="FF339966"/>
      <rgbColor rgb="FF003300"/>
      <rgbColor rgb="FF333300"/>
      <rgbColor rgb="FF993300"/>
      <rgbColor rgb="FF993366"/>
      <rgbColor rgb="FF5B3FD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31.5" hidden="false" customHeight="true" outlineLevel="0" collapsed="false">
      <c r="A1" s="2" t="s">
        <v>0</v>
      </c>
    </row>
    <row r="2" customFormat="false" ht="15" hidden="false" customHeight="true" outlineLevel="0" collapsed="false">
      <c r="A2" s="3"/>
    </row>
    <row r="3" customFormat="false" ht="24" hidden="false" customHeight="true" outlineLevel="0" collapsed="false">
      <c r="A3" s="4" t="s">
        <v>1</v>
      </c>
    </row>
    <row r="4" customFormat="false" ht="34.5" hidden="false" customHeight="true" outlineLevel="0" collapsed="false">
      <c r="A4" s="3" t="s">
        <v>2</v>
      </c>
    </row>
    <row r="5" customFormat="false" ht="15" hidden="false" customHeight="true" outlineLevel="0" collapsed="false">
      <c r="A5" s="3"/>
    </row>
    <row r="6" customFormat="false" ht="24" hidden="false" customHeight="true" outlineLevel="0" collapsed="false">
      <c r="A6" s="4" t="s">
        <v>3</v>
      </c>
    </row>
    <row r="7" customFormat="false" ht="23.25" hidden="false" customHeight="true" outlineLevel="0" collapsed="false">
      <c r="A7" s="3" t="s">
        <v>4</v>
      </c>
    </row>
    <row r="8" customFormat="false" ht="15" hidden="false" customHeight="true" outlineLevel="0" collapsed="false">
      <c r="A8" s="3"/>
    </row>
    <row r="9" customFormat="false" ht="24" hidden="false" customHeight="true" outlineLevel="0" collapsed="false">
      <c r="A9" s="4" t="s">
        <v>5</v>
      </c>
    </row>
    <row r="10" customFormat="false" ht="15" hidden="false" customHeight="true" outlineLevel="0" collapsed="false">
      <c r="A10" s="3" t="s">
        <v>6</v>
      </c>
    </row>
    <row r="11" customFormat="false" ht="15" hidden="false" customHeight="true" outlineLevel="0" collapsed="false">
      <c r="A11" s="3" t="s">
        <v>7</v>
      </c>
    </row>
    <row r="12" customFormat="false" ht="15" hidden="false" customHeight="true" outlineLevel="0" collapsed="false">
      <c r="A12" s="3" t="s">
        <v>8</v>
      </c>
    </row>
    <row r="13" customFormat="false" ht="1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row>
    <row r="16" customFormat="false" ht="24" hidden="false" customHeight="true" outlineLevel="0" collapsed="false">
      <c r="A16" s="4" t="s">
        <v>11</v>
      </c>
    </row>
    <row r="17" customFormat="false" ht="15" hidden="false" customHeight="true" outlineLevel="0" collapsed="false">
      <c r="A17" s="3" t="s">
        <v>12</v>
      </c>
    </row>
    <row r="18" customFormat="false" ht="15" hidden="false" customHeight="true" outlineLevel="0" collapsed="false">
      <c r="A18" s="3" t="s">
        <v>13</v>
      </c>
    </row>
    <row r="19" customFormat="false" ht="15" hidden="false" customHeight="true" outlineLevel="0" collapsed="false">
      <c r="A19" s="3" t="s">
        <v>14</v>
      </c>
    </row>
    <row r="20" customFormat="false" ht="1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t="s">
        <v>20</v>
      </c>
    </row>
    <row r="26" customFormat="false" ht="15" hidden="false" customHeight="true" outlineLevel="0" collapsed="false">
      <c r="A26" s="3" t="s">
        <v>21</v>
      </c>
    </row>
    <row r="27" customFormat="false" ht="15" hidden="false" customHeight="true" outlineLevel="0" collapsed="false">
      <c r="A27" s="3"/>
    </row>
    <row r="28" customFormat="false" ht="24" hidden="false" customHeight="true" outlineLevel="0" collapsed="false">
      <c r="A28" s="4" t="s">
        <v>22</v>
      </c>
    </row>
    <row r="29" customFormat="false" ht="15" hidden="false" customHeight="true" outlineLevel="0" collapsed="false">
      <c r="A29" s="3" t="s">
        <v>23</v>
      </c>
    </row>
    <row r="30" customFormat="false" ht="15" hidden="false" customHeight="true" outlineLevel="0" collapsed="false">
      <c r="A30" s="3" t="s">
        <v>24</v>
      </c>
    </row>
    <row r="31" customFormat="false" ht="15" hidden="false" customHeight="true" outlineLevel="0" collapsed="false">
      <c r="A31" s="3" t="s">
        <v>25</v>
      </c>
    </row>
    <row r="32" customFormat="false" ht="15" hidden="false" customHeight="true" outlineLevel="0" collapsed="false">
      <c r="A32" s="3" t="s">
        <v>26</v>
      </c>
    </row>
    <row r="33" customFormat="false" ht="15" hidden="false" customHeight="true" outlineLevel="0" collapsed="false">
      <c r="A33" s="3"/>
    </row>
    <row r="34" customFormat="false" ht="24" hidden="false" customHeight="true" outlineLevel="0" collapsed="false">
      <c r="A34" s="4" t="s">
        <v>27</v>
      </c>
    </row>
    <row r="35" customFormat="false" ht="15" hidden="false" customHeight="true" outlineLevel="0" collapsed="false">
      <c r="A35" s="3" t="s">
        <v>28</v>
      </c>
    </row>
    <row r="36" customFormat="false" ht="15" hidden="false" customHeight="true" outlineLevel="0" collapsed="false">
      <c r="A36" s="3" t="s">
        <v>29</v>
      </c>
    </row>
    <row r="37" customFormat="false" ht="15" hidden="false" customHeight="true" outlineLevel="0" collapsed="false">
      <c r="A37" s="3" t="s">
        <v>30</v>
      </c>
    </row>
    <row r="38" customFormat="false" ht="15" hidden="false" customHeight="true" outlineLevel="0" collapsed="false">
      <c r="A38" s="3"/>
    </row>
    <row r="39" customFormat="false" ht="24" hidden="false" customHeight="true" outlineLevel="0" collapsed="false">
      <c r="A39" s="4" t="s">
        <v>31</v>
      </c>
    </row>
    <row r="40" customFormat="false" ht="15" hidden="false" customHeight="true" outlineLevel="0" collapsed="false">
      <c r="A40" s="3" t="s">
        <v>32</v>
      </c>
    </row>
    <row r="41" customFormat="false" ht="15" hidden="false" customHeight="true" outlineLevel="0" collapsed="false">
      <c r="A41" s="3" t="s">
        <v>33</v>
      </c>
    </row>
    <row r="42" customFormat="false" ht="15" hidden="false" customHeight="true" outlineLevel="0" collapsed="false">
      <c r="A42" s="3" t="s">
        <v>34</v>
      </c>
    </row>
    <row r="43" customFormat="false" ht="15" hidden="false" customHeight="true" outlineLevel="0" collapsed="false">
      <c r="A43" s="3"/>
    </row>
    <row r="44" customFormat="false" ht="24" hidden="false" customHeight="true" outlineLevel="0" collapsed="false">
      <c r="A44" s="4" t="s">
        <v>35</v>
      </c>
    </row>
    <row r="45" customFormat="false" ht="15" hidden="false" customHeight="true" outlineLevel="0" collapsed="false">
      <c r="A45" s="3" t="s">
        <v>36</v>
      </c>
    </row>
    <row r="46" customFormat="false" ht="15" hidden="false" customHeight="true" outlineLevel="0" collapsed="false">
      <c r="A46" s="3" t="s">
        <v>37</v>
      </c>
    </row>
    <row r="47" customFormat="false" ht="15" hidden="false" customHeight="true" outlineLevel="0" collapsed="false">
      <c r="A47" s="3" t="s">
        <v>38</v>
      </c>
    </row>
    <row r="48" customFormat="false" ht="15" hidden="false" customHeight="true" outlineLevel="0" collapsed="false">
      <c r="A48" s="3"/>
    </row>
    <row r="49" customFormat="false" ht="24" hidden="false" customHeight="true" outlineLevel="0" collapsed="false">
      <c r="A49" s="4" t="s">
        <v>39</v>
      </c>
    </row>
    <row r="50" customFormat="false" ht="15" hidden="false" customHeight="true" outlineLevel="0" collapsed="false">
      <c r="A50" s="3" t="s">
        <v>40</v>
      </c>
    </row>
    <row r="51" customFormat="false" ht="15" hidden="false" customHeight="true" outlineLevel="0" collapsed="false">
      <c r="A51" s="3" t="s">
        <v>41</v>
      </c>
    </row>
    <row r="52" customFormat="false" ht="15" hidden="false" customHeight="true" outlineLevel="0" collapsed="false">
      <c r="A52" s="3" t="s">
        <v>42</v>
      </c>
    </row>
    <row r="53" customFormat="false" ht="15" hidden="false" customHeight="true" outlineLevel="0" collapsed="false">
      <c r="A53" s="3" t="s">
        <v>43</v>
      </c>
    </row>
    <row r="54" customFormat="false" ht="15" hidden="false" customHeight="true" outlineLevel="0" collapsed="false">
      <c r="A54" s="3" t="s">
        <v>44</v>
      </c>
    </row>
    <row r="55" customFormat="false" ht="15" hidden="false" customHeight="true" outlineLevel="0" collapsed="false">
      <c r="A55" s="3"/>
    </row>
    <row r="56" customFormat="false" ht="24" hidden="false" customHeight="true" outlineLevel="0" collapsed="false">
      <c r="A56" s="4" t="s">
        <v>45</v>
      </c>
    </row>
    <row r="57" customFormat="false" ht="15" hidden="false" customHeight="true" outlineLevel="0" collapsed="false">
      <c r="A57" s="3" t="s">
        <v>46</v>
      </c>
    </row>
    <row r="58" customFormat="false" ht="15" hidden="false" customHeight="true" outlineLevel="0" collapsed="false">
      <c r="A58" s="3" t="s">
        <v>47</v>
      </c>
    </row>
    <row r="59" customFormat="false" ht="15" hidden="false" customHeight="true" outlineLevel="0" collapsed="false">
      <c r="A59" s="3" t="s">
        <v>48</v>
      </c>
    </row>
    <row r="60" customFormat="false" ht="15" hidden="false" customHeight="true" outlineLevel="0" collapsed="false">
      <c r="A60" s="3" t="s">
        <v>49</v>
      </c>
    </row>
    <row r="61" customFormat="false" ht="15" hidden="false" customHeight="true" outlineLevel="0" collapsed="false">
      <c r="A61" s="3"/>
    </row>
    <row r="62" customFormat="false" ht="24" hidden="false" customHeight="true" outlineLevel="0" collapsed="false">
      <c r="A62" s="4" t="s">
        <v>50</v>
      </c>
    </row>
    <row r="63" customFormat="false" ht="15" hidden="false" customHeight="true" outlineLevel="0" collapsed="false">
      <c r="A63" s="3" t="s">
        <v>51</v>
      </c>
    </row>
    <row r="64" customFormat="false" ht="15" hidden="false" customHeight="true" outlineLevel="0" collapsed="false">
      <c r="A64" s="3" t="s">
        <v>52</v>
      </c>
    </row>
    <row r="65" customFormat="false" ht="15" hidden="false" customHeight="true" outlineLevel="0" collapsed="false">
      <c r="A65" s="3" t="s">
        <v>53</v>
      </c>
    </row>
    <row r="66" customFormat="false" ht="15" hidden="false" customHeight="true" outlineLevel="0" collapsed="false">
      <c r="A66" s="3" t="s">
        <v>54</v>
      </c>
    </row>
    <row r="67" customFormat="false" ht="15" hidden="false" customHeight="true" outlineLevel="0" collapsed="false">
      <c r="A67" s="3" t="s">
        <v>55</v>
      </c>
    </row>
    <row r="68" customFormat="false" ht="15" hidden="false" customHeight="false" outlineLevel="0" collapsed="false">
      <c r="A68" s="3"/>
    </row>
    <row r="69" customFormat="false" ht="24" hidden="false" customHeight="true" outlineLevel="0" collapsed="false">
      <c r="A69" s="4" t="s">
        <v>56</v>
      </c>
    </row>
    <row r="70" customFormat="false" ht="23.85" hidden="false" customHeight="false" outlineLevel="0" collapsed="false">
      <c r="A70" s="3" t="s">
        <v>57</v>
      </c>
    </row>
    <row r="71" customFormat="false" ht="15" hidden="false" customHeight="false" outlineLevel="0" collapsed="false">
      <c r="A71" s="3"/>
    </row>
    <row r="72" customFormat="false" ht="15" hidden="false" customHeight="false" outlineLevel="0" collapsed="false">
      <c r="A72" s="3" t="s">
        <v>58</v>
      </c>
    </row>
    <row r="73" customFormat="false" ht="15" hidden="false" customHeight="false" outlineLevel="0" collapsed="false">
      <c r="A73" s="3" t="s">
        <v>59</v>
      </c>
    </row>
    <row r="74" customFormat="false" ht="15" hidden="false" customHeight="false" outlineLevel="0" collapsed="false">
      <c r="A74" s="3" t="s">
        <v>60</v>
      </c>
    </row>
    <row r="75" customFormat="false" ht="15" hidden="false" customHeight="false" outlineLevel="0" collapsed="false">
      <c r="A75" s="3" t="s">
        <v>61</v>
      </c>
    </row>
    <row r="76" customFormat="false" ht="15" hidden="false" customHeight="false" outlineLevel="0" collapsed="false">
      <c r="A76" s="3" t="s">
        <v>62</v>
      </c>
    </row>
    <row r="77" customFormat="false" ht="15" hidden="false" customHeight="false" outlineLevel="0" collapsed="false">
      <c r="A77" s="3" t="s">
        <v>63</v>
      </c>
    </row>
    <row r="78" customFormat="false" ht="15" hidden="false" customHeight="false" outlineLevel="0" collapsed="false">
      <c r="A78" s="3"/>
    </row>
    <row r="79" customFormat="false" ht="15" hidden="false" customHeight="false" outlineLevel="0" collapsed="false">
      <c r="A79" s="3" t="s">
        <v>64</v>
      </c>
    </row>
    <row r="80" customFormat="false" ht="23.85" hidden="false" customHeight="false" outlineLevel="0" collapsed="false">
      <c r="A80" s="3" t="s">
        <v>65</v>
      </c>
    </row>
    <row r="81" customFormat="false" ht="15" hidden="false" customHeight="false" outlineLevel="0" collapsed="false">
      <c r="A81" s="3" t="s">
        <v>66</v>
      </c>
    </row>
    <row r="82" customFormat="false" ht="15" hidden="false" customHeight="false" outlineLevel="0" collapsed="false">
      <c r="A82" s="3" t="s">
        <v>67</v>
      </c>
    </row>
    <row r="83" customFormat="false" ht="15" hidden="false" customHeight="false" outlineLevel="0" collapsed="false">
      <c r="A83" s="3" t="s">
        <v>68</v>
      </c>
    </row>
    <row r="84" customFormat="false" ht="15" hidden="false" customHeight="false" outlineLevel="0" collapsed="false">
      <c r="A84" s="3"/>
    </row>
    <row r="85" customFormat="false" ht="15" hidden="false" customHeight="false" outlineLevel="0" collapsed="false">
      <c r="A85" s="3" t="s">
        <v>69</v>
      </c>
    </row>
    <row r="86" customFormat="false" ht="23.85" hidden="false" customHeight="false" outlineLevel="0" collapsed="false">
      <c r="A86" s="3" t="s">
        <v>70</v>
      </c>
    </row>
    <row r="87" customFormat="false" ht="15" hidden="false" customHeight="false" outlineLevel="0" collapsed="false">
      <c r="A87" s="3" t="s">
        <v>71</v>
      </c>
    </row>
    <row r="88" customFormat="false" ht="15" hidden="false" customHeight="false" outlineLevel="0" collapsed="false">
      <c r="A88" s="3"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20"/>
    <col collapsed="false" customWidth="true" hidden="false" outlineLevel="0" max="4" min="4" style="1" width="42"/>
    <col collapsed="false" customWidth="true" hidden="false" outlineLevel="0" max="5" min="5" style="1" width="60"/>
    <col collapsed="false" customWidth="true" hidden="false" outlineLevel="0" max="7" min="6" style="1" width="14"/>
    <col collapsed="false" customWidth="true" hidden="false" outlineLevel="0" max="8" min="8" style="1" width="8"/>
    <col collapsed="false" customWidth="true" hidden="false" outlineLevel="0" max="9" min="9" style="1" width="10"/>
    <col collapsed="false" customWidth="true" hidden="false" outlineLevel="0" max="10" min="10" style="1" width="42"/>
    <col collapsed="false" customWidth="true" hidden="false" outlineLevel="0" max="11" min="11" style="1" width="38"/>
    <col collapsed="false" customWidth="true" hidden="false" outlineLevel="0" max="12" min="12" style="1" width="12"/>
    <col collapsed="false" customWidth="true" hidden="false" outlineLevel="0" max="13" min="13" style="1" width="13"/>
    <col collapsed="false" customWidth="true" hidden="false" outlineLevel="0" max="14" min="14" style="1" width="22"/>
    <col collapsed="false" customWidth="true" hidden="false" outlineLevel="0" max="15" min="15" style="1" width="8"/>
    <col collapsed="false" customWidth="true" hidden="false" outlineLevel="0" max="16" min="16" style="1" width="10"/>
    <col collapsed="false" customWidth="true" hidden="false" outlineLevel="0" max="17" min="17" style="1" width="8"/>
    <col collapsed="false" customWidth="true" hidden="false" outlineLevel="0" max="18" min="18" style="1" width="10"/>
    <col collapsed="false" customWidth="true" hidden="false" outlineLevel="0" max="19" min="19" style="1" width="50"/>
    <col collapsed="false" customWidth="true" hidden="false" outlineLevel="0" max="20" min="20" style="1" width="38"/>
    <col collapsed="false" customWidth="true" hidden="false" outlineLevel="0" max="21" min="21" style="1" width="14"/>
    <col collapsed="false" customWidth="true" hidden="false" outlineLevel="0" max="22" min="22" style="0" width="60"/>
    <col collapsed="false" customWidth="true" hidden="false" outlineLevel="0" max="23" min="23" style="0" width="14"/>
    <col collapsed="false" customWidth="true" hidden="false" outlineLevel="0" max="24" min="24" style="0" width="13"/>
    <col collapsed="false" customWidth="true" hidden="false" outlineLevel="0" max="25" min="25" style="0" width="24"/>
    <col collapsed="false" customWidth="true" hidden="false" outlineLevel="0" max="27" min="26" style="0" width="14"/>
    <col collapsed="false" customWidth="true" hidden="false" outlineLevel="0" max="28" min="28" style="0" width="30"/>
    <col collapsed="false" customWidth="true" hidden="false" outlineLevel="0" max="29" min="29" style="0" width="18"/>
  </cols>
  <sheetData>
    <row r="1" customFormat="false" ht="36" hidden="false" customHeight="true" outlineLevel="0" collapsed="false">
      <c r="A1" s="5" t="s">
        <v>73</v>
      </c>
      <c r="B1" s="5" t="s">
        <v>74</v>
      </c>
      <c r="C1" s="5" t="s">
        <v>75</v>
      </c>
      <c r="D1" s="5" t="s">
        <v>76</v>
      </c>
      <c r="E1" s="5" t="s">
        <v>77</v>
      </c>
      <c r="F1" s="5" t="s">
        <v>78</v>
      </c>
      <c r="G1" s="5" t="s">
        <v>79</v>
      </c>
      <c r="H1" s="5" t="s">
        <v>80</v>
      </c>
      <c r="I1" s="5" t="s">
        <v>81</v>
      </c>
      <c r="J1" s="5" t="s">
        <v>82</v>
      </c>
      <c r="K1" s="5" t="s">
        <v>83</v>
      </c>
      <c r="L1" s="5" t="s">
        <v>84</v>
      </c>
      <c r="M1" s="5" t="s">
        <v>35</v>
      </c>
      <c r="N1" s="5" t="s">
        <v>39</v>
      </c>
      <c r="O1" s="5" t="s">
        <v>85</v>
      </c>
      <c r="P1" s="5" t="s">
        <v>86</v>
      </c>
      <c r="Q1" s="5" t="s">
        <v>87</v>
      </c>
      <c r="R1" s="5" t="s">
        <v>88</v>
      </c>
      <c r="S1" s="5" t="s">
        <v>89</v>
      </c>
      <c r="T1" s="5" t="s">
        <v>90</v>
      </c>
      <c r="U1" s="5" t="s">
        <v>91</v>
      </c>
      <c r="V1" s="5" t="s">
        <v>92</v>
      </c>
      <c r="W1" s="5" t="s">
        <v>93</v>
      </c>
      <c r="X1" s="5" t="s">
        <v>94</v>
      </c>
      <c r="Y1" s="5" t="s">
        <v>95</v>
      </c>
      <c r="Z1" s="5" t="s">
        <v>96</v>
      </c>
      <c r="AA1" s="5" t="s">
        <v>97</v>
      </c>
      <c r="AB1" s="5" t="s">
        <v>98</v>
      </c>
      <c r="AC1" s="5" t="s">
        <v>99</v>
      </c>
    </row>
    <row r="2" customFormat="false" ht="69.75" hidden="false" customHeight="true" outlineLevel="0" collapsed="false">
      <c r="A2" s="6" t="s">
        <v>100</v>
      </c>
      <c r="B2" s="6" t="s">
        <v>101</v>
      </c>
      <c r="C2" s="7" t="s">
        <v>102</v>
      </c>
      <c r="D2" s="7" t="s">
        <v>103</v>
      </c>
      <c r="E2" s="7" t="s">
        <v>104</v>
      </c>
      <c r="F2" s="8" t="n">
        <v>50000</v>
      </c>
      <c r="G2" s="8" t="n">
        <v>1000000</v>
      </c>
      <c r="H2" s="7" t="s">
        <v>105</v>
      </c>
      <c r="I2" s="7" t="s">
        <v>106</v>
      </c>
      <c r="J2" s="7" t="s">
        <v>107</v>
      </c>
      <c r="K2" s="7" t="s">
        <v>108</v>
      </c>
      <c r="L2" s="7" t="s">
        <v>109</v>
      </c>
      <c r="M2" s="7" t="s">
        <v>106</v>
      </c>
      <c r="N2" s="7" t="s">
        <v>110</v>
      </c>
      <c r="O2" s="7" t="s">
        <v>111</v>
      </c>
      <c r="P2" s="7" t="s">
        <v>111</v>
      </c>
      <c r="Q2" s="7" t="s">
        <v>111</v>
      </c>
      <c r="R2" s="7" t="s">
        <v>111</v>
      </c>
      <c r="S2" s="7" t="s">
        <v>112</v>
      </c>
      <c r="T2" s="7" t="s">
        <v>113</v>
      </c>
      <c r="U2" s="7" t="s">
        <v>114</v>
      </c>
      <c r="V2" s="9" t="s">
        <v>115</v>
      </c>
      <c r="W2" s="10"/>
      <c r="X2" s="10"/>
      <c r="Y2" s="7" t="s">
        <v>116</v>
      </c>
      <c r="Z2" s="7"/>
      <c r="AA2" s="7"/>
      <c r="AB2" s="7" t="s">
        <v>117</v>
      </c>
      <c r="AC2" s="11" t="s">
        <v>118</v>
      </c>
    </row>
    <row r="3" customFormat="false" ht="69.75" hidden="false" customHeight="true" outlineLevel="0" collapsed="false">
      <c r="A3" s="6" t="s">
        <v>119</v>
      </c>
      <c r="B3" s="6" t="s">
        <v>101</v>
      </c>
      <c r="C3" s="7" t="s">
        <v>120</v>
      </c>
      <c r="D3" s="7" t="s">
        <v>121</v>
      </c>
      <c r="E3" s="7" t="s">
        <v>122</v>
      </c>
      <c r="F3" s="8" t="n">
        <v>20000</v>
      </c>
      <c r="G3" s="8" t="n">
        <v>500000</v>
      </c>
      <c r="H3" s="7" t="s">
        <v>123</v>
      </c>
      <c r="I3" s="7" t="s">
        <v>106</v>
      </c>
      <c r="J3" s="7" t="s">
        <v>124</v>
      </c>
      <c r="K3" s="7" t="s">
        <v>125</v>
      </c>
      <c r="L3" s="7" t="s">
        <v>109</v>
      </c>
      <c r="M3" s="7" t="s">
        <v>106</v>
      </c>
      <c r="N3" s="7" t="s">
        <v>110</v>
      </c>
      <c r="O3" s="7" t="s">
        <v>111</v>
      </c>
      <c r="P3" s="7" t="s">
        <v>111</v>
      </c>
      <c r="Q3" s="7" t="s">
        <v>111</v>
      </c>
      <c r="R3" s="7" t="s">
        <v>111</v>
      </c>
      <c r="S3" s="7" t="s">
        <v>126</v>
      </c>
      <c r="T3" s="7" t="s">
        <v>127</v>
      </c>
      <c r="U3" s="7" t="s">
        <v>114</v>
      </c>
      <c r="V3" s="9" t="s">
        <v>128</v>
      </c>
      <c r="W3" s="10"/>
      <c r="X3" s="10"/>
      <c r="Y3" s="7" t="s">
        <v>116</v>
      </c>
      <c r="Z3" s="7"/>
      <c r="AA3" s="7"/>
      <c r="AB3" s="7" t="s">
        <v>129</v>
      </c>
      <c r="AC3" s="11" t="s">
        <v>118</v>
      </c>
    </row>
    <row r="4" customFormat="false" ht="69.75" hidden="false" customHeight="true" outlineLevel="0" collapsed="false">
      <c r="A4" s="6" t="s">
        <v>130</v>
      </c>
      <c r="B4" s="6" t="s">
        <v>101</v>
      </c>
      <c r="C4" s="7" t="s">
        <v>131</v>
      </c>
      <c r="D4" s="7" t="s">
        <v>132</v>
      </c>
      <c r="E4" s="7" t="s">
        <v>133</v>
      </c>
      <c r="F4" s="8" t="n">
        <v>10000</v>
      </c>
      <c r="G4" s="8" t="n">
        <v>250000</v>
      </c>
      <c r="H4" s="7" t="s">
        <v>123</v>
      </c>
      <c r="I4" s="7" t="s">
        <v>106</v>
      </c>
      <c r="J4" s="7" t="s">
        <v>134</v>
      </c>
      <c r="K4" s="7" t="s">
        <v>135</v>
      </c>
      <c r="L4" s="7" t="s">
        <v>109</v>
      </c>
      <c r="M4" s="7" t="s">
        <v>106</v>
      </c>
      <c r="N4" s="7" t="s">
        <v>110</v>
      </c>
      <c r="O4" s="7" t="s">
        <v>111</v>
      </c>
      <c r="P4" s="7" t="s">
        <v>111</v>
      </c>
      <c r="Q4" s="7" t="s">
        <v>111</v>
      </c>
      <c r="R4" s="7" t="s">
        <v>111</v>
      </c>
      <c r="S4" s="7" t="s">
        <v>136</v>
      </c>
      <c r="T4" s="7" t="s">
        <v>137</v>
      </c>
      <c r="U4" s="7" t="s">
        <v>114</v>
      </c>
      <c r="V4" s="9" t="s">
        <v>138</v>
      </c>
      <c r="W4" s="10"/>
      <c r="X4" s="10"/>
      <c r="Y4" s="7" t="s">
        <v>116</v>
      </c>
      <c r="Z4" s="7"/>
      <c r="AA4" s="7"/>
      <c r="AB4" s="7"/>
      <c r="AC4" s="11" t="s">
        <v>118</v>
      </c>
    </row>
    <row r="5" customFormat="false" ht="69.75" hidden="false" customHeight="true" outlineLevel="0" collapsed="false">
      <c r="A5" s="6" t="s">
        <v>139</v>
      </c>
      <c r="B5" s="6" t="s">
        <v>101</v>
      </c>
      <c r="C5" s="7" t="s">
        <v>140</v>
      </c>
      <c r="D5" s="7" t="s">
        <v>141</v>
      </c>
      <c r="E5" s="7" t="s">
        <v>142</v>
      </c>
      <c r="F5" s="8" t="n">
        <v>20000</v>
      </c>
      <c r="G5" s="8" t="n">
        <v>600000</v>
      </c>
      <c r="H5" s="7" t="s">
        <v>123</v>
      </c>
      <c r="I5" s="7" t="s">
        <v>106</v>
      </c>
      <c r="J5" s="7" t="s">
        <v>143</v>
      </c>
      <c r="K5" s="7" t="s">
        <v>135</v>
      </c>
      <c r="L5" s="7" t="s">
        <v>109</v>
      </c>
      <c r="M5" s="7" t="s">
        <v>106</v>
      </c>
      <c r="N5" s="7" t="s">
        <v>110</v>
      </c>
      <c r="O5" s="7" t="s">
        <v>111</v>
      </c>
      <c r="P5" s="7" t="s">
        <v>111</v>
      </c>
      <c r="Q5" s="7" t="s">
        <v>111</v>
      </c>
      <c r="R5" s="7" t="s">
        <v>111</v>
      </c>
      <c r="S5" s="7" t="s">
        <v>144</v>
      </c>
      <c r="T5" s="7" t="s">
        <v>145</v>
      </c>
      <c r="U5" s="7" t="s">
        <v>114</v>
      </c>
      <c r="V5" s="9" t="s">
        <v>146</v>
      </c>
      <c r="W5" s="10"/>
      <c r="X5" s="10"/>
      <c r="Y5" s="7" t="s">
        <v>116</v>
      </c>
      <c r="Z5" s="7"/>
      <c r="AA5" s="7"/>
      <c r="AB5" s="7"/>
      <c r="AC5" s="11" t="s">
        <v>118</v>
      </c>
    </row>
    <row r="6" customFormat="false" ht="69.75" hidden="false" customHeight="true" outlineLevel="0" collapsed="false">
      <c r="A6" s="6" t="s">
        <v>147</v>
      </c>
      <c r="B6" s="6" t="s">
        <v>101</v>
      </c>
      <c r="C6" s="7" t="s">
        <v>148</v>
      </c>
      <c r="D6" s="7" t="s">
        <v>149</v>
      </c>
      <c r="E6" s="7" t="s">
        <v>150</v>
      </c>
      <c r="F6" s="8" t="n">
        <v>5000</v>
      </c>
      <c r="G6" s="8" t="n">
        <v>150000</v>
      </c>
      <c r="H6" s="7" t="s">
        <v>123</v>
      </c>
      <c r="I6" s="7" t="s">
        <v>123</v>
      </c>
      <c r="J6" s="7" t="s">
        <v>151</v>
      </c>
      <c r="K6" s="7" t="s">
        <v>152</v>
      </c>
      <c r="L6" s="7" t="s">
        <v>109</v>
      </c>
      <c r="M6" s="7" t="s">
        <v>106</v>
      </c>
      <c r="N6" s="7" t="s">
        <v>110</v>
      </c>
      <c r="O6" s="7" t="s">
        <v>111</v>
      </c>
      <c r="P6" s="7" t="s">
        <v>111</v>
      </c>
      <c r="Q6" s="7" t="s">
        <v>111</v>
      </c>
      <c r="R6" s="7" t="s">
        <v>111</v>
      </c>
      <c r="S6" s="7" t="s">
        <v>153</v>
      </c>
      <c r="T6" s="7" t="s">
        <v>154</v>
      </c>
      <c r="U6" s="7" t="s">
        <v>114</v>
      </c>
      <c r="V6" s="9" t="s">
        <v>155</v>
      </c>
      <c r="W6" s="10"/>
      <c r="X6" s="10"/>
      <c r="Y6" s="7" t="s">
        <v>116</v>
      </c>
      <c r="Z6" s="7"/>
      <c r="AA6" s="7"/>
      <c r="AB6" s="7"/>
      <c r="AC6" s="7" t="s">
        <v>156</v>
      </c>
    </row>
    <row r="7" customFormat="false" ht="69.75" hidden="false" customHeight="true" outlineLevel="0" collapsed="false">
      <c r="A7" s="6" t="s">
        <v>157</v>
      </c>
      <c r="B7" s="6" t="s">
        <v>101</v>
      </c>
      <c r="C7" s="7" t="s">
        <v>158</v>
      </c>
      <c r="D7" s="7" t="s">
        <v>159</v>
      </c>
      <c r="E7" s="7" t="s">
        <v>160</v>
      </c>
      <c r="F7" s="8" t="n">
        <v>5000</v>
      </c>
      <c r="G7" s="8" t="n">
        <v>80000</v>
      </c>
      <c r="H7" s="7" t="s">
        <v>161</v>
      </c>
      <c r="I7" s="7" t="s">
        <v>123</v>
      </c>
      <c r="J7" s="7" t="s">
        <v>162</v>
      </c>
      <c r="K7" s="7" t="s">
        <v>163</v>
      </c>
      <c r="L7" s="7" t="s">
        <v>164</v>
      </c>
      <c r="M7" s="7" t="s">
        <v>106</v>
      </c>
      <c r="N7" s="7" t="s">
        <v>110</v>
      </c>
      <c r="O7" s="7" t="s">
        <v>111</v>
      </c>
      <c r="P7" s="7" t="s">
        <v>111</v>
      </c>
      <c r="Q7" s="7" t="s">
        <v>111</v>
      </c>
      <c r="R7" s="7" t="s">
        <v>111</v>
      </c>
      <c r="S7" s="7" t="s">
        <v>165</v>
      </c>
      <c r="T7" s="7" t="s">
        <v>166</v>
      </c>
      <c r="U7" s="7" t="s">
        <v>114</v>
      </c>
      <c r="V7" s="9" t="s">
        <v>167</v>
      </c>
      <c r="W7" s="10"/>
      <c r="X7" s="10"/>
      <c r="Y7" s="7" t="s">
        <v>116</v>
      </c>
      <c r="Z7" s="7"/>
      <c r="AA7" s="7"/>
      <c r="AB7" s="7" t="s">
        <v>168</v>
      </c>
      <c r="AC7" s="7" t="s">
        <v>156</v>
      </c>
    </row>
    <row r="8" customFormat="false" ht="69.75" hidden="false" customHeight="true" outlineLevel="0" collapsed="false">
      <c r="A8" s="6" t="s">
        <v>169</v>
      </c>
      <c r="B8" s="6" t="s">
        <v>101</v>
      </c>
      <c r="C8" s="7" t="s">
        <v>170</v>
      </c>
      <c r="D8" s="7" t="s">
        <v>171</v>
      </c>
      <c r="E8" s="7" t="s">
        <v>172</v>
      </c>
      <c r="F8" s="8" t="n">
        <v>10000</v>
      </c>
      <c r="G8" s="8" t="n">
        <v>200000</v>
      </c>
      <c r="H8" s="7" t="s">
        <v>123</v>
      </c>
      <c r="I8" s="7" t="s">
        <v>123</v>
      </c>
      <c r="J8" s="7" t="s">
        <v>173</v>
      </c>
      <c r="K8" s="7" t="s">
        <v>174</v>
      </c>
      <c r="L8" s="7" t="s">
        <v>109</v>
      </c>
      <c r="M8" s="7" t="s">
        <v>106</v>
      </c>
      <c r="N8" s="7" t="s">
        <v>110</v>
      </c>
      <c r="O8" s="7" t="s">
        <v>111</v>
      </c>
      <c r="P8" s="7" t="s">
        <v>111</v>
      </c>
      <c r="Q8" s="7" t="s">
        <v>111</v>
      </c>
      <c r="R8" s="7" t="s">
        <v>111</v>
      </c>
      <c r="S8" s="7" t="s">
        <v>175</v>
      </c>
      <c r="T8" s="7" t="s">
        <v>176</v>
      </c>
      <c r="U8" s="7" t="s">
        <v>114</v>
      </c>
      <c r="V8" s="9" t="s">
        <v>177</v>
      </c>
      <c r="W8" s="10"/>
      <c r="X8" s="10"/>
      <c r="Y8" s="7" t="s">
        <v>116</v>
      </c>
      <c r="Z8" s="7"/>
      <c r="AA8" s="7"/>
      <c r="AB8" s="7"/>
      <c r="AC8" s="11" t="s">
        <v>118</v>
      </c>
    </row>
    <row r="9" customFormat="false" ht="69.75" hidden="false" customHeight="true" outlineLevel="0" collapsed="false">
      <c r="A9" s="6" t="s">
        <v>178</v>
      </c>
      <c r="B9" s="6" t="s">
        <v>101</v>
      </c>
      <c r="C9" s="7" t="s">
        <v>179</v>
      </c>
      <c r="D9" s="7" t="s">
        <v>180</v>
      </c>
      <c r="E9" s="7" t="s">
        <v>181</v>
      </c>
      <c r="F9" s="8" t="n">
        <v>5000</v>
      </c>
      <c r="G9" s="8" t="n">
        <v>100000</v>
      </c>
      <c r="H9" s="7" t="s">
        <v>123</v>
      </c>
      <c r="I9" s="7" t="s">
        <v>123</v>
      </c>
      <c r="J9" s="7" t="s">
        <v>182</v>
      </c>
      <c r="K9" s="7" t="s">
        <v>135</v>
      </c>
      <c r="L9" s="7" t="s">
        <v>109</v>
      </c>
      <c r="M9" s="7" t="s">
        <v>106</v>
      </c>
      <c r="N9" s="7" t="s">
        <v>110</v>
      </c>
      <c r="O9" s="7" t="s">
        <v>111</v>
      </c>
      <c r="P9" s="7" t="s">
        <v>111</v>
      </c>
      <c r="Q9" s="7" t="s">
        <v>111</v>
      </c>
      <c r="R9" s="7" t="s">
        <v>111</v>
      </c>
      <c r="S9" s="7" t="s">
        <v>183</v>
      </c>
      <c r="T9" s="7" t="s">
        <v>184</v>
      </c>
      <c r="U9" s="7" t="s">
        <v>114</v>
      </c>
      <c r="V9" s="9" t="s">
        <v>185</v>
      </c>
      <c r="W9" s="10"/>
      <c r="X9" s="10"/>
      <c r="Y9" s="7" t="s">
        <v>116</v>
      </c>
      <c r="Z9" s="7"/>
      <c r="AA9" s="7"/>
      <c r="AB9" s="7"/>
      <c r="AC9" s="7" t="s">
        <v>156</v>
      </c>
    </row>
    <row r="10" customFormat="false" ht="69.75" hidden="false" customHeight="true" outlineLevel="0" collapsed="false">
      <c r="A10" s="6" t="s">
        <v>186</v>
      </c>
      <c r="B10" s="6" t="s">
        <v>101</v>
      </c>
      <c r="C10" s="7" t="s">
        <v>187</v>
      </c>
      <c r="D10" s="7" t="s">
        <v>188</v>
      </c>
      <c r="E10" s="7" t="s">
        <v>189</v>
      </c>
      <c r="F10" s="8" t="n">
        <v>5000</v>
      </c>
      <c r="G10" s="8" t="n">
        <v>75000</v>
      </c>
      <c r="H10" s="7" t="s">
        <v>161</v>
      </c>
      <c r="I10" s="7" t="s">
        <v>123</v>
      </c>
      <c r="J10" s="7" t="s">
        <v>190</v>
      </c>
      <c r="K10" s="7" t="s">
        <v>191</v>
      </c>
      <c r="L10" s="7" t="s">
        <v>109</v>
      </c>
      <c r="M10" s="7" t="s">
        <v>106</v>
      </c>
      <c r="N10" s="7" t="s">
        <v>110</v>
      </c>
      <c r="O10" s="7" t="s">
        <v>111</v>
      </c>
      <c r="P10" s="7" t="s">
        <v>192</v>
      </c>
      <c r="Q10" s="7" t="s">
        <v>111</v>
      </c>
      <c r="R10" s="7" t="s">
        <v>111</v>
      </c>
      <c r="S10" s="7" t="s">
        <v>193</v>
      </c>
      <c r="T10" s="7" t="s">
        <v>194</v>
      </c>
      <c r="U10" s="7" t="s">
        <v>114</v>
      </c>
      <c r="V10" s="9" t="s">
        <v>195</v>
      </c>
      <c r="W10" s="10"/>
      <c r="X10" s="10"/>
      <c r="Y10" s="7" t="s">
        <v>116</v>
      </c>
      <c r="Z10" s="7"/>
      <c r="AA10" s="7"/>
      <c r="AB10" s="7" t="s">
        <v>196</v>
      </c>
      <c r="AC10" s="7" t="s">
        <v>156</v>
      </c>
    </row>
    <row r="11" customFormat="false" ht="69.75" hidden="false" customHeight="true" outlineLevel="0" collapsed="false">
      <c r="A11" s="6" t="s">
        <v>197</v>
      </c>
      <c r="B11" s="6" t="s">
        <v>101</v>
      </c>
      <c r="C11" s="7" t="s">
        <v>198</v>
      </c>
      <c r="D11" s="7" t="s">
        <v>199</v>
      </c>
      <c r="E11" s="7" t="s">
        <v>200</v>
      </c>
      <c r="F11" s="8" t="n">
        <v>20000</v>
      </c>
      <c r="G11" s="8" t="n">
        <v>400000</v>
      </c>
      <c r="H11" s="7" t="s">
        <v>123</v>
      </c>
      <c r="I11" s="7" t="s">
        <v>123</v>
      </c>
      <c r="J11" s="7" t="s">
        <v>201</v>
      </c>
      <c r="K11" s="7" t="s">
        <v>202</v>
      </c>
      <c r="L11" s="7" t="s">
        <v>164</v>
      </c>
      <c r="M11" s="7" t="s">
        <v>106</v>
      </c>
      <c r="N11" s="7" t="s">
        <v>110</v>
      </c>
      <c r="O11" s="7" t="s">
        <v>111</v>
      </c>
      <c r="P11" s="7" t="s">
        <v>111</v>
      </c>
      <c r="Q11" s="7" t="s">
        <v>111</v>
      </c>
      <c r="R11" s="7" t="s">
        <v>111</v>
      </c>
      <c r="S11" s="7" t="s">
        <v>203</v>
      </c>
      <c r="T11" s="7" t="s">
        <v>204</v>
      </c>
      <c r="U11" s="7" t="s">
        <v>114</v>
      </c>
      <c r="V11" s="9" t="s">
        <v>205</v>
      </c>
      <c r="W11" s="10"/>
      <c r="X11" s="10"/>
      <c r="Y11" s="7" t="s">
        <v>116</v>
      </c>
      <c r="Z11" s="7"/>
      <c r="AA11" s="7"/>
      <c r="AB11" s="7" t="s">
        <v>196</v>
      </c>
      <c r="AC11" s="7" t="s">
        <v>156</v>
      </c>
    </row>
    <row r="12" customFormat="false" ht="69.75" hidden="false" customHeight="true" outlineLevel="0" collapsed="false">
      <c r="A12" s="6" t="s">
        <v>206</v>
      </c>
      <c r="B12" s="6" t="s">
        <v>101</v>
      </c>
      <c r="C12" s="7" t="s">
        <v>207</v>
      </c>
      <c r="D12" s="7" t="s">
        <v>208</v>
      </c>
      <c r="E12" s="7" t="s">
        <v>209</v>
      </c>
      <c r="F12" s="8" t="n">
        <v>10000</v>
      </c>
      <c r="G12" s="8" t="n">
        <v>60000</v>
      </c>
      <c r="H12" s="7" t="s">
        <v>161</v>
      </c>
      <c r="I12" s="7" t="s">
        <v>123</v>
      </c>
      <c r="J12" s="7" t="s">
        <v>210</v>
      </c>
      <c r="K12" s="7" t="s">
        <v>135</v>
      </c>
      <c r="L12" s="7" t="s">
        <v>164</v>
      </c>
      <c r="M12" s="7" t="s">
        <v>106</v>
      </c>
      <c r="N12" s="7" t="s">
        <v>110</v>
      </c>
      <c r="O12" s="7" t="s">
        <v>111</v>
      </c>
      <c r="P12" s="7" t="s">
        <v>111</v>
      </c>
      <c r="Q12" s="7" t="s">
        <v>111</v>
      </c>
      <c r="R12" s="7" t="s">
        <v>111</v>
      </c>
      <c r="S12" s="7" t="s">
        <v>211</v>
      </c>
      <c r="T12" s="7" t="s">
        <v>212</v>
      </c>
      <c r="U12" s="7" t="s">
        <v>114</v>
      </c>
      <c r="V12" s="9" t="s">
        <v>213</v>
      </c>
      <c r="W12" s="10"/>
      <c r="X12" s="10"/>
      <c r="Y12" s="7" t="s">
        <v>116</v>
      </c>
      <c r="Z12" s="7"/>
      <c r="AA12" s="7"/>
      <c r="AB12" s="7"/>
      <c r="AC12" s="7" t="s">
        <v>156</v>
      </c>
    </row>
    <row r="13" customFormat="false" ht="69.75" hidden="false" customHeight="true" outlineLevel="0" collapsed="false">
      <c r="A13" s="6" t="s">
        <v>214</v>
      </c>
      <c r="B13" s="6" t="s">
        <v>101</v>
      </c>
      <c r="C13" s="7" t="s">
        <v>215</v>
      </c>
      <c r="D13" s="7" t="s">
        <v>216</v>
      </c>
      <c r="E13" s="7" t="s">
        <v>217</v>
      </c>
      <c r="F13" s="8" t="n">
        <v>10000</v>
      </c>
      <c r="G13" s="8" t="n">
        <v>200000</v>
      </c>
      <c r="H13" s="7" t="s">
        <v>123</v>
      </c>
      <c r="I13" s="7" t="s">
        <v>123</v>
      </c>
      <c r="J13" s="7" t="s">
        <v>218</v>
      </c>
      <c r="K13" s="7" t="s">
        <v>219</v>
      </c>
      <c r="L13" s="7" t="s">
        <v>164</v>
      </c>
      <c r="M13" s="7" t="s">
        <v>123</v>
      </c>
      <c r="N13" s="7" t="s">
        <v>220</v>
      </c>
      <c r="O13" s="7" t="s">
        <v>111</v>
      </c>
      <c r="P13" s="7" t="s">
        <v>192</v>
      </c>
      <c r="Q13" s="7" t="s">
        <v>111</v>
      </c>
      <c r="R13" s="7" t="s">
        <v>111</v>
      </c>
      <c r="S13" s="7" t="s">
        <v>221</v>
      </c>
      <c r="T13" s="7" t="s">
        <v>222</v>
      </c>
      <c r="U13" s="7" t="s">
        <v>114</v>
      </c>
      <c r="V13" s="9" t="s">
        <v>223</v>
      </c>
      <c r="W13" s="10"/>
      <c r="X13" s="10"/>
      <c r="Y13" s="7" t="s">
        <v>116</v>
      </c>
      <c r="Z13" s="7"/>
      <c r="AA13" s="7"/>
      <c r="AB13" s="7" t="s">
        <v>224</v>
      </c>
      <c r="AC13" s="7" t="s">
        <v>156</v>
      </c>
    </row>
    <row r="14" customFormat="false" ht="69.75" hidden="false" customHeight="true" outlineLevel="0" collapsed="false">
      <c r="A14" s="6" t="s">
        <v>225</v>
      </c>
      <c r="B14" s="6" t="s">
        <v>101</v>
      </c>
      <c r="C14" s="7" t="s">
        <v>226</v>
      </c>
      <c r="D14" s="7" t="s">
        <v>227</v>
      </c>
      <c r="E14" s="7" t="s">
        <v>228</v>
      </c>
      <c r="F14" s="8" t="n">
        <v>5000</v>
      </c>
      <c r="G14" s="8" t="n">
        <v>150000</v>
      </c>
      <c r="H14" s="7" t="s">
        <v>123</v>
      </c>
      <c r="I14" s="7" t="s">
        <v>106</v>
      </c>
      <c r="J14" s="7" t="s">
        <v>229</v>
      </c>
      <c r="K14" s="7" t="s">
        <v>230</v>
      </c>
      <c r="L14" s="7" t="s">
        <v>109</v>
      </c>
      <c r="M14" s="7" t="s">
        <v>106</v>
      </c>
      <c r="N14" s="7" t="s">
        <v>110</v>
      </c>
      <c r="O14" s="7" t="s">
        <v>111</v>
      </c>
      <c r="P14" s="7" t="s">
        <v>111</v>
      </c>
      <c r="Q14" s="7" t="s">
        <v>111</v>
      </c>
      <c r="R14" s="7" t="s">
        <v>111</v>
      </c>
      <c r="S14" s="7" t="s">
        <v>231</v>
      </c>
      <c r="T14" s="7" t="s">
        <v>232</v>
      </c>
      <c r="U14" s="7" t="s">
        <v>114</v>
      </c>
      <c r="V14" s="9" t="s">
        <v>233</v>
      </c>
      <c r="W14" s="10"/>
      <c r="X14" s="10"/>
      <c r="Y14" s="7" t="s">
        <v>116</v>
      </c>
      <c r="Z14" s="7"/>
      <c r="AA14" s="7"/>
      <c r="AB14" s="7" t="s">
        <v>234</v>
      </c>
      <c r="AC14" s="7" t="s">
        <v>156</v>
      </c>
    </row>
    <row r="15" customFormat="false" ht="69.75" hidden="false" customHeight="true" outlineLevel="0" collapsed="false">
      <c r="A15" s="6" t="s">
        <v>235</v>
      </c>
      <c r="B15" s="6" t="s">
        <v>101</v>
      </c>
      <c r="C15" s="7" t="s">
        <v>236</v>
      </c>
      <c r="D15" s="7" t="s">
        <v>237</v>
      </c>
      <c r="E15" s="7" t="s">
        <v>238</v>
      </c>
      <c r="F15" s="8" t="n">
        <v>5000</v>
      </c>
      <c r="G15" s="8" t="n">
        <v>100000</v>
      </c>
      <c r="H15" s="7" t="s">
        <v>123</v>
      </c>
      <c r="I15" s="7" t="s">
        <v>106</v>
      </c>
      <c r="J15" s="7" t="s">
        <v>239</v>
      </c>
      <c r="K15" s="7" t="s">
        <v>135</v>
      </c>
      <c r="L15" s="7" t="s">
        <v>109</v>
      </c>
      <c r="M15" s="7" t="s">
        <v>106</v>
      </c>
      <c r="N15" s="7" t="s">
        <v>110</v>
      </c>
      <c r="O15" s="7" t="s">
        <v>111</v>
      </c>
      <c r="P15" s="7" t="s">
        <v>111</v>
      </c>
      <c r="Q15" s="7" t="s">
        <v>111</v>
      </c>
      <c r="R15" s="7" t="s">
        <v>111</v>
      </c>
      <c r="S15" s="7" t="s">
        <v>240</v>
      </c>
      <c r="T15" s="7" t="s">
        <v>241</v>
      </c>
      <c r="U15" s="7" t="s">
        <v>114</v>
      </c>
      <c r="V15" s="9" t="s">
        <v>242</v>
      </c>
      <c r="W15" s="10"/>
      <c r="X15" s="10"/>
      <c r="Y15" s="7" t="s">
        <v>116</v>
      </c>
      <c r="Z15" s="7"/>
      <c r="AA15" s="7"/>
      <c r="AB15" s="7"/>
      <c r="AC15" s="11" t="s">
        <v>118</v>
      </c>
    </row>
    <row r="16" customFormat="false" ht="69.75" hidden="false" customHeight="true" outlineLevel="0" collapsed="false">
      <c r="A16" s="6" t="s">
        <v>243</v>
      </c>
      <c r="B16" s="6" t="s">
        <v>101</v>
      </c>
      <c r="C16" s="7" t="s">
        <v>244</v>
      </c>
      <c r="D16" s="7" t="s">
        <v>245</v>
      </c>
      <c r="E16" s="7" t="s">
        <v>246</v>
      </c>
      <c r="F16" s="8" t="n">
        <v>2000</v>
      </c>
      <c r="G16" s="8" t="n">
        <v>50000</v>
      </c>
      <c r="H16" s="7" t="s">
        <v>161</v>
      </c>
      <c r="I16" s="7" t="s">
        <v>106</v>
      </c>
      <c r="J16" s="7" t="s">
        <v>247</v>
      </c>
      <c r="K16" s="7" t="s">
        <v>135</v>
      </c>
      <c r="L16" s="7" t="s">
        <v>109</v>
      </c>
      <c r="M16" s="7" t="s">
        <v>106</v>
      </c>
      <c r="N16" s="7" t="s">
        <v>110</v>
      </c>
      <c r="O16" s="7" t="s">
        <v>111</v>
      </c>
      <c r="P16" s="7" t="s">
        <v>111</v>
      </c>
      <c r="Q16" s="7" t="s">
        <v>111</v>
      </c>
      <c r="R16" s="7" t="s">
        <v>111</v>
      </c>
      <c r="S16" s="7" t="s">
        <v>248</v>
      </c>
      <c r="T16" s="7" t="s">
        <v>249</v>
      </c>
      <c r="U16" s="7" t="s">
        <v>114</v>
      </c>
      <c r="V16" s="9" t="s">
        <v>250</v>
      </c>
      <c r="W16" s="10"/>
      <c r="X16" s="10"/>
      <c r="Y16" s="7" t="s">
        <v>116</v>
      </c>
      <c r="Z16" s="7"/>
      <c r="AA16" s="7"/>
      <c r="AB16" s="7"/>
      <c r="AC16" s="7" t="s">
        <v>156</v>
      </c>
    </row>
    <row r="17" customFormat="false" ht="69.75" hidden="false" customHeight="true" outlineLevel="0" collapsed="false">
      <c r="A17" s="6" t="s">
        <v>251</v>
      </c>
      <c r="B17" s="6" t="s">
        <v>101</v>
      </c>
      <c r="C17" s="7" t="s">
        <v>252</v>
      </c>
      <c r="D17" s="7" t="s">
        <v>253</v>
      </c>
      <c r="E17" s="7" t="s">
        <v>254</v>
      </c>
      <c r="F17" s="8" t="n">
        <v>50000</v>
      </c>
      <c r="G17" s="8" t="n">
        <v>800000</v>
      </c>
      <c r="H17" s="7" t="s">
        <v>105</v>
      </c>
      <c r="I17" s="7" t="s">
        <v>106</v>
      </c>
      <c r="J17" s="7" t="s">
        <v>255</v>
      </c>
      <c r="K17" s="7" t="s">
        <v>256</v>
      </c>
      <c r="L17" s="7" t="s">
        <v>164</v>
      </c>
      <c r="M17" s="7" t="s">
        <v>123</v>
      </c>
      <c r="N17" s="7" t="s">
        <v>220</v>
      </c>
      <c r="O17" s="7" t="s">
        <v>111</v>
      </c>
      <c r="P17" s="7" t="s">
        <v>192</v>
      </c>
      <c r="Q17" s="7" t="s">
        <v>111</v>
      </c>
      <c r="R17" s="7" t="s">
        <v>111</v>
      </c>
      <c r="S17" s="7" t="s">
        <v>257</v>
      </c>
      <c r="T17" s="7" t="s">
        <v>258</v>
      </c>
      <c r="U17" s="7" t="s">
        <v>114</v>
      </c>
      <c r="V17" s="9" t="s">
        <v>259</v>
      </c>
      <c r="W17" s="10"/>
      <c r="X17" s="10"/>
      <c r="Y17" s="7" t="s">
        <v>116</v>
      </c>
      <c r="Z17" s="7"/>
      <c r="AA17" s="7"/>
      <c r="AB17" s="7" t="s">
        <v>260</v>
      </c>
      <c r="AC17" s="7" t="s">
        <v>156</v>
      </c>
    </row>
    <row r="18" customFormat="false" ht="69.75" hidden="false" customHeight="true" outlineLevel="0" collapsed="false">
      <c r="A18" s="6" t="s">
        <v>261</v>
      </c>
      <c r="B18" s="6" t="s">
        <v>101</v>
      </c>
      <c r="C18" s="7" t="s">
        <v>262</v>
      </c>
      <c r="D18" s="7" t="s">
        <v>263</v>
      </c>
      <c r="E18" s="7" t="s">
        <v>264</v>
      </c>
      <c r="F18" s="8" t="n">
        <v>10000</v>
      </c>
      <c r="G18" s="8" t="n">
        <v>100000</v>
      </c>
      <c r="H18" s="7" t="s">
        <v>123</v>
      </c>
      <c r="I18" s="7" t="s">
        <v>123</v>
      </c>
      <c r="J18" s="7" t="s">
        <v>265</v>
      </c>
      <c r="K18" s="7" t="s">
        <v>135</v>
      </c>
      <c r="L18" s="7" t="s">
        <v>164</v>
      </c>
      <c r="M18" s="7" t="s">
        <v>123</v>
      </c>
      <c r="N18" s="7" t="s">
        <v>110</v>
      </c>
      <c r="O18" s="7" t="s">
        <v>111</v>
      </c>
      <c r="P18" s="7" t="s">
        <v>111</v>
      </c>
      <c r="Q18" s="7" t="s">
        <v>111</v>
      </c>
      <c r="R18" s="7" t="s">
        <v>111</v>
      </c>
      <c r="S18" s="7" t="s">
        <v>266</v>
      </c>
      <c r="T18" s="7" t="s">
        <v>267</v>
      </c>
      <c r="U18" s="7" t="s">
        <v>114</v>
      </c>
      <c r="V18" s="9" t="s">
        <v>268</v>
      </c>
      <c r="W18" s="10"/>
      <c r="X18" s="10"/>
      <c r="Y18" s="7" t="s">
        <v>116</v>
      </c>
      <c r="Z18" s="7"/>
      <c r="AA18" s="7"/>
      <c r="AB18" s="7"/>
      <c r="AC18" s="7" t="s">
        <v>156</v>
      </c>
    </row>
    <row r="19" customFormat="false" ht="69.75" hidden="false" customHeight="true" outlineLevel="0" collapsed="false">
      <c r="A19" s="6" t="s">
        <v>269</v>
      </c>
      <c r="B19" s="6" t="s">
        <v>101</v>
      </c>
      <c r="C19" s="7" t="s">
        <v>270</v>
      </c>
      <c r="D19" s="7" t="s">
        <v>271</v>
      </c>
      <c r="E19" s="7" t="s">
        <v>272</v>
      </c>
      <c r="F19" s="8" t="n">
        <v>5000</v>
      </c>
      <c r="G19" s="8" t="n">
        <v>100000</v>
      </c>
      <c r="H19" s="7" t="s">
        <v>161</v>
      </c>
      <c r="I19" s="7" t="s">
        <v>123</v>
      </c>
      <c r="J19" s="7" t="s">
        <v>273</v>
      </c>
      <c r="K19" s="7" t="s">
        <v>135</v>
      </c>
      <c r="L19" s="7" t="s">
        <v>109</v>
      </c>
      <c r="M19" s="7" t="s">
        <v>106</v>
      </c>
      <c r="N19" s="7" t="s">
        <v>110</v>
      </c>
      <c r="O19" s="7" t="s">
        <v>111</v>
      </c>
      <c r="P19" s="7" t="s">
        <v>111</v>
      </c>
      <c r="Q19" s="7" t="s">
        <v>111</v>
      </c>
      <c r="R19" s="7" t="s">
        <v>111</v>
      </c>
      <c r="S19" s="7" t="s">
        <v>274</v>
      </c>
      <c r="T19" s="7" t="s">
        <v>275</v>
      </c>
      <c r="U19" s="7" t="s">
        <v>114</v>
      </c>
      <c r="V19" s="9" t="s">
        <v>276</v>
      </c>
      <c r="W19" s="10"/>
      <c r="X19" s="10"/>
      <c r="Y19" s="7" t="s">
        <v>116</v>
      </c>
      <c r="Z19" s="7"/>
      <c r="AA19" s="7"/>
      <c r="AB19" s="7"/>
      <c r="AC19" s="7" t="s">
        <v>156</v>
      </c>
    </row>
    <row r="20" customFormat="false" ht="69.75" hidden="false" customHeight="true" outlineLevel="0" collapsed="false">
      <c r="A20" s="6" t="s">
        <v>277</v>
      </c>
      <c r="B20" s="6" t="s">
        <v>101</v>
      </c>
      <c r="C20" s="7" t="s">
        <v>278</v>
      </c>
      <c r="D20" s="7" t="s">
        <v>279</v>
      </c>
      <c r="E20" s="7" t="s">
        <v>280</v>
      </c>
      <c r="F20" s="8" t="n">
        <v>10000</v>
      </c>
      <c r="G20" s="8" t="n">
        <v>200000</v>
      </c>
      <c r="H20" s="7" t="s">
        <v>123</v>
      </c>
      <c r="I20" s="7" t="s">
        <v>106</v>
      </c>
      <c r="J20" s="7" t="s">
        <v>281</v>
      </c>
      <c r="K20" s="7" t="s">
        <v>135</v>
      </c>
      <c r="L20" s="7" t="s">
        <v>164</v>
      </c>
      <c r="M20" s="7" t="s">
        <v>106</v>
      </c>
      <c r="N20" s="7" t="s">
        <v>110</v>
      </c>
      <c r="O20" s="7" t="s">
        <v>111</v>
      </c>
      <c r="P20" s="7" t="s">
        <v>111</v>
      </c>
      <c r="Q20" s="7" t="s">
        <v>111</v>
      </c>
      <c r="R20" s="7" t="s">
        <v>111</v>
      </c>
      <c r="S20" s="7" t="s">
        <v>282</v>
      </c>
      <c r="T20" s="7" t="s">
        <v>283</v>
      </c>
      <c r="U20" s="7" t="s">
        <v>114</v>
      </c>
      <c r="V20" s="9" t="s">
        <v>284</v>
      </c>
      <c r="W20" s="10"/>
      <c r="X20" s="10"/>
      <c r="Y20" s="7" t="s">
        <v>116</v>
      </c>
      <c r="Z20" s="7"/>
      <c r="AA20" s="7"/>
      <c r="AB20" s="7"/>
      <c r="AC20" s="7" t="s">
        <v>156</v>
      </c>
    </row>
    <row r="21" customFormat="false" ht="69.75" hidden="false" customHeight="true" outlineLevel="0" collapsed="false">
      <c r="A21" s="6" t="s">
        <v>285</v>
      </c>
      <c r="B21" s="6" t="s">
        <v>101</v>
      </c>
      <c r="C21" s="7" t="s">
        <v>286</v>
      </c>
      <c r="D21" s="7" t="s">
        <v>287</v>
      </c>
      <c r="E21" s="7" t="s">
        <v>288</v>
      </c>
      <c r="F21" s="8" t="n">
        <v>5000</v>
      </c>
      <c r="G21" s="8" t="n">
        <v>100000</v>
      </c>
      <c r="H21" s="7" t="s">
        <v>161</v>
      </c>
      <c r="I21" s="7" t="s">
        <v>123</v>
      </c>
      <c r="J21" s="7" t="s">
        <v>289</v>
      </c>
      <c r="K21" s="7" t="s">
        <v>135</v>
      </c>
      <c r="L21" s="7" t="s">
        <v>109</v>
      </c>
      <c r="M21" s="7" t="s">
        <v>106</v>
      </c>
      <c r="N21" s="7" t="s">
        <v>110</v>
      </c>
      <c r="O21" s="7" t="s">
        <v>111</v>
      </c>
      <c r="P21" s="7" t="s">
        <v>111</v>
      </c>
      <c r="Q21" s="7" t="s">
        <v>111</v>
      </c>
      <c r="R21" s="7" t="s">
        <v>111</v>
      </c>
      <c r="S21" s="7" t="s">
        <v>290</v>
      </c>
      <c r="T21" s="7" t="s">
        <v>291</v>
      </c>
      <c r="U21" s="7" t="s">
        <v>114</v>
      </c>
      <c r="V21" s="9" t="s">
        <v>195</v>
      </c>
      <c r="W21" s="10"/>
      <c r="X21" s="10"/>
      <c r="Y21" s="7" t="s">
        <v>116</v>
      </c>
      <c r="Z21" s="7"/>
      <c r="AA21" s="7"/>
      <c r="AB21" s="7"/>
      <c r="AC21" s="7" t="s">
        <v>156</v>
      </c>
    </row>
    <row r="22" customFormat="false" ht="69.75" hidden="false" customHeight="true" outlineLevel="0" collapsed="false">
      <c r="A22" s="11" t="s">
        <v>292</v>
      </c>
      <c r="B22" s="11" t="s">
        <v>293</v>
      </c>
      <c r="C22" s="7" t="s">
        <v>294</v>
      </c>
      <c r="D22" s="7" t="s">
        <v>295</v>
      </c>
      <c r="E22" s="7" t="s">
        <v>296</v>
      </c>
      <c r="F22" s="8" t="n">
        <v>250000</v>
      </c>
      <c r="G22" s="8" t="n">
        <v>800000</v>
      </c>
      <c r="H22" s="7" t="s">
        <v>105</v>
      </c>
      <c r="I22" s="7" t="s">
        <v>123</v>
      </c>
      <c r="J22" s="7" t="s">
        <v>297</v>
      </c>
      <c r="K22" s="7" t="s">
        <v>298</v>
      </c>
      <c r="L22" s="7" t="s">
        <v>299</v>
      </c>
      <c r="M22" s="7" t="s">
        <v>123</v>
      </c>
      <c r="N22" s="7" t="s">
        <v>300</v>
      </c>
      <c r="O22" s="7" t="s">
        <v>111</v>
      </c>
      <c r="P22" s="7" t="s">
        <v>192</v>
      </c>
      <c r="Q22" s="7" t="s">
        <v>111</v>
      </c>
      <c r="R22" s="7" t="s">
        <v>192</v>
      </c>
      <c r="S22" s="7" t="s">
        <v>301</v>
      </c>
      <c r="T22" s="7" t="s">
        <v>302</v>
      </c>
      <c r="U22" s="7" t="s">
        <v>114</v>
      </c>
      <c r="V22" s="9" t="s">
        <v>303</v>
      </c>
      <c r="W22" s="10" t="n">
        <v>40</v>
      </c>
      <c r="X22" s="10"/>
      <c r="Y22" s="7" t="s">
        <v>304</v>
      </c>
      <c r="Z22" s="7"/>
      <c r="AA22" s="7"/>
      <c r="AB22" s="7" t="s">
        <v>305</v>
      </c>
      <c r="AC22" s="7" t="s">
        <v>156</v>
      </c>
    </row>
    <row r="23" customFormat="false" ht="69.75" hidden="false" customHeight="true" outlineLevel="0" collapsed="false">
      <c r="A23" s="11" t="s">
        <v>306</v>
      </c>
      <c r="B23" s="11" t="s">
        <v>293</v>
      </c>
      <c r="C23" s="7" t="s">
        <v>294</v>
      </c>
      <c r="D23" s="7" t="s">
        <v>307</v>
      </c>
      <c r="E23" s="7" t="s">
        <v>308</v>
      </c>
      <c r="F23" s="8" t="n">
        <v>50000</v>
      </c>
      <c r="G23" s="8" t="n">
        <v>200000</v>
      </c>
      <c r="H23" s="7" t="s">
        <v>123</v>
      </c>
      <c r="I23" s="7" t="s">
        <v>123</v>
      </c>
      <c r="J23" s="7" t="s">
        <v>309</v>
      </c>
      <c r="K23" s="7" t="s">
        <v>310</v>
      </c>
      <c r="L23" s="7" t="s">
        <v>311</v>
      </c>
      <c r="M23" s="7" t="s">
        <v>123</v>
      </c>
      <c r="N23" s="7" t="s">
        <v>220</v>
      </c>
      <c r="O23" s="7" t="s">
        <v>192</v>
      </c>
      <c r="P23" s="7" t="s">
        <v>111</v>
      </c>
      <c r="Q23" s="7" t="s">
        <v>111</v>
      </c>
      <c r="R23" s="7" t="s">
        <v>192</v>
      </c>
      <c r="S23" s="7" t="s">
        <v>312</v>
      </c>
      <c r="T23" s="7" t="s">
        <v>313</v>
      </c>
      <c r="U23" s="7" t="s">
        <v>114</v>
      </c>
      <c r="V23" s="9" t="s">
        <v>314</v>
      </c>
      <c r="W23" s="10" t="n">
        <v>40</v>
      </c>
      <c r="X23" s="10"/>
      <c r="Y23" s="7" t="s">
        <v>304</v>
      </c>
      <c r="Z23" s="7"/>
      <c r="AA23" s="7"/>
      <c r="AB23" s="7" t="s">
        <v>305</v>
      </c>
      <c r="AC23" s="7" t="s">
        <v>156</v>
      </c>
    </row>
    <row r="24" customFormat="false" ht="69.75" hidden="false" customHeight="true" outlineLevel="0" collapsed="false">
      <c r="A24" s="11" t="s">
        <v>315</v>
      </c>
      <c r="B24" s="11" t="s">
        <v>293</v>
      </c>
      <c r="C24" s="7" t="s">
        <v>294</v>
      </c>
      <c r="D24" s="7" t="s">
        <v>316</v>
      </c>
      <c r="E24" s="7" t="s">
        <v>317</v>
      </c>
      <c r="F24" s="8" t="n">
        <v>100000</v>
      </c>
      <c r="G24" s="8" t="n">
        <v>500000</v>
      </c>
      <c r="H24" s="7" t="s">
        <v>105</v>
      </c>
      <c r="I24" s="7" t="s">
        <v>123</v>
      </c>
      <c r="J24" s="7" t="s">
        <v>318</v>
      </c>
      <c r="K24" s="7" t="s">
        <v>319</v>
      </c>
      <c r="L24" s="7" t="s">
        <v>311</v>
      </c>
      <c r="M24" s="7" t="s">
        <v>123</v>
      </c>
      <c r="N24" s="7" t="s">
        <v>220</v>
      </c>
      <c r="O24" s="7" t="s">
        <v>111</v>
      </c>
      <c r="P24" s="7" t="s">
        <v>192</v>
      </c>
      <c r="Q24" s="7" t="s">
        <v>111</v>
      </c>
      <c r="R24" s="7" t="s">
        <v>192</v>
      </c>
      <c r="S24" s="7" t="s">
        <v>320</v>
      </c>
      <c r="T24" s="7" t="s">
        <v>321</v>
      </c>
      <c r="U24" s="7" t="s">
        <v>114</v>
      </c>
      <c r="V24" s="9" t="s">
        <v>322</v>
      </c>
      <c r="W24" s="10" t="n">
        <v>40</v>
      </c>
      <c r="X24" s="10"/>
      <c r="Y24" s="7" t="s">
        <v>304</v>
      </c>
      <c r="Z24" s="7"/>
      <c r="AA24" s="7"/>
      <c r="AB24" s="7" t="s">
        <v>305</v>
      </c>
      <c r="AC24" s="7" t="s">
        <v>156</v>
      </c>
    </row>
    <row r="25" customFormat="false" ht="69.75" hidden="false" customHeight="true" outlineLevel="0" collapsed="false">
      <c r="A25" s="11" t="s">
        <v>323</v>
      </c>
      <c r="B25" s="11" t="s">
        <v>293</v>
      </c>
      <c r="C25" s="7" t="s">
        <v>294</v>
      </c>
      <c r="D25" s="7" t="s">
        <v>324</v>
      </c>
      <c r="E25" s="7" t="s">
        <v>325</v>
      </c>
      <c r="F25" s="8" t="n">
        <v>75000</v>
      </c>
      <c r="G25" s="8" t="n">
        <v>300000</v>
      </c>
      <c r="H25" s="7" t="s">
        <v>105</v>
      </c>
      <c r="I25" s="7" t="s">
        <v>123</v>
      </c>
      <c r="J25" s="7" t="s">
        <v>326</v>
      </c>
      <c r="K25" s="7" t="s">
        <v>327</v>
      </c>
      <c r="L25" s="7" t="s">
        <v>311</v>
      </c>
      <c r="M25" s="7" t="s">
        <v>123</v>
      </c>
      <c r="N25" s="7" t="s">
        <v>220</v>
      </c>
      <c r="O25" s="7" t="s">
        <v>111</v>
      </c>
      <c r="P25" s="7" t="s">
        <v>111</v>
      </c>
      <c r="Q25" s="7" t="s">
        <v>111</v>
      </c>
      <c r="R25" s="7" t="s">
        <v>111</v>
      </c>
      <c r="S25" s="7" t="s">
        <v>328</v>
      </c>
      <c r="T25" s="7" t="s">
        <v>329</v>
      </c>
      <c r="U25" s="7" t="s">
        <v>114</v>
      </c>
      <c r="V25" s="9" t="s">
        <v>330</v>
      </c>
      <c r="W25" s="10" t="n">
        <v>40</v>
      </c>
      <c r="X25" s="10"/>
      <c r="Y25" s="7" t="s">
        <v>304</v>
      </c>
      <c r="Z25" s="7"/>
      <c r="AA25" s="7"/>
      <c r="AB25" s="7" t="s">
        <v>305</v>
      </c>
      <c r="AC25" s="7" t="s">
        <v>156</v>
      </c>
    </row>
    <row r="26" customFormat="false" ht="69.75" hidden="false" customHeight="true" outlineLevel="0" collapsed="false">
      <c r="A26" s="11" t="s">
        <v>331</v>
      </c>
      <c r="B26" s="11" t="s">
        <v>293</v>
      </c>
      <c r="C26" s="7" t="s">
        <v>294</v>
      </c>
      <c r="D26" s="7" t="s">
        <v>332</v>
      </c>
      <c r="E26" s="7" t="s">
        <v>333</v>
      </c>
      <c r="F26" s="8" t="n">
        <v>150000</v>
      </c>
      <c r="G26" s="8" t="n">
        <v>600000</v>
      </c>
      <c r="H26" s="7" t="s">
        <v>105</v>
      </c>
      <c r="I26" s="7" t="s">
        <v>105</v>
      </c>
      <c r="J26" s="7" t="s">
        <v>334</v>
      </c>
      <c r="K26" s="7" t="s">
        <v>335</v>
      </c>
      <c r="L26" s="7" t="s">
        <v>299</v>
      </c>
      <c r="M26" s="7" t="s">
        <v>105</v>
      </c>
      <c r="N26" s="7" t="s">
        <v>300</v>
      </c>
      <c r="O26" s="7" t="s">
        <v>111</v>
      </c>
      <c r="P26" s="7" t="s">
        <v>111</v>
      </c>
      <c r="Q26" s="7" t="s">
        <v>111</v>
      </c>
      <c r="R26" s="7" t="s">
        <v>111</v>
      </c>
      <c r="S26" s="7" t="s">
        <v>336</v>
      </c>
      <c r="T26" s="7" t="s">
        <v>337</v>
      </c>
      <c r="U26" s="7" t="s">
        <v>114</v>
      </c>
      <c r="V26" s="9" t="s">
        <v>338</v>
      </c>
      <c r="W26" s="10" t="n">
        <v>40</v>
      </c>
      <c r="X26" s="10"/>
      <c r="Y26" s="7" t="s">
        <v>304</v>
      </c>
      <c r="Z26" s="7"/>
      <c r="AA26" s="7"/>
      <c r="AB26" s="7" t="s">
        <v>305</v>
      </c>
      <c r="AC26" s="7" t="s">
        <v>156</v>
      </c>
    </row>
    <row r="27" customFormat="false" ht="69.75" hidden="false" customHeight="true" outlineLevel="0" collapsed="false">
      <c r="A27" s="11" t="s">
        <v>339</v>
      </c>
      <c r="B27" s="11" t="s">
        <v>293</v>
      </c>
      <c r="C27" s="7" t="s">
        <v>294</v>
      </c>
      <c r="D27" s="7" t="s">
        <v>340</v>
      </c>
      <c r="E27" s="7" t="s">
        <v>341</v>
      </c>
      <c r="F27" s="8" t="n">
        <v>30000</v>
      </c>
      <c r="G27" s="8" t="n">
        <v>200000</v>
      </c>
      <c r="H27" s="7" t="s">
        <v>123</v>
      </c>
      <c r="I27" s="7" t="s">
        <v>123</v>
      </c>
      <c r="J27" s="7" t="s">
        <v>342</v>
      </c>
      <c r="K27" s="7" t="s">
        <v>343</v>
      </c>
      <c r="L27" s="7" t="s">
        <v>311</v>
      </c>
      <c r="M27" s="7" t="s">
        <v>123</v>
      </c>
      <c r="N27" s="7" t="s">
        <v>220</v>
      </c>
      <c r="O27" s="7" t="s">
        <v>111</v>
      </c>
      <c r="P27" s="7" t="s">
        <v>192</v>
      </c>
      <c r="Q27" s="7" t="s">
        <v>111</v>
      </c>
      <c r="R27" s="7" t="s">
        <v>344</v>
      </c>
      <c r="S27" s="7" t="s">
        <v>345</v>
      </c>
      <c r="T27" s="7" t="s">
        <v>346</v>
      </c>
      <c r="U27" s="7" t="s">
        <v>114</v>
      </c>
      <c r="V27" s="9" t="s">
        <v>347</v>
      </c>
      <c r="W27" s="10" t="n">
        <v>40</v>
      </c>
      <c r="X27" s="10"/>
      <c r="Y27" s="7" t="s">
        <v>304</v>
      </c>
      <c r="Z27" s="7"/>
      <c r="AA27" s="7"/>
      <c r="AB27" s="7" t="s">
        <v>117</v>
      </c>
      <c r="AC27" s="7" t="s">
        <v>156</v>
      </c>
    </row>
    <row r="28" customFormat="false" ht="69.75" hidden="false" customHeight="true" outlineLevel="0" collapsed="false">
      <c r="A28" s="11" t="s">
        <v>348</v>
      </c>
      <c r="B28" s="11" t="s">
        <v>293</v>
      </c>
      <c r="C28" s="7" t="s">
        <v>349</v>
      </c>
      <c r="D28" s="7" t="s">
        <v>350</v>
      </c>
      <c r="E28" s="7" t="s">
        <v>351</v>
      </c>
      <c r="F28" s="8" t="n">
        <v>200000</v>
      </c>
      <c r="G28" s="8" t="n">
        <v>800000</v>
      </c>
      <c r="H28" s="7" t="s">
        <v>105</v>
      </c>
      <c r="I28" s="7" t="s">
        <v>106</v>
      </c>
      <c r="J28" s="7" t="s">
        <v>352</v>
      </c>
      <c r="K28" s="7" t="s">
        <v>353</v>
      </c>
      <c r="L28" s="7" t="s">
        <v>299</v>
      </c>
      <c r="M28" s="7" t="s">
        <v>123</v>
      </c>
      <c r="N28" s="7" t="s">
        <v>300</v>
      </c>
      <c r="O28" s="7" t="s">
        <v>111</v>
      </c>
      <c r="P28" s="7" t="s">
        <v>111</v>
      </c>
      <c r="Q28" s="7" t="s">
        <v>111</v>
      </c>
      <c r="R28" s="7" t="s">
        <v>192</v>
      </c>
      <c r="S28" s="7" t="s">
        <v>354</v>
      </c>
      <c r="T28" s="7" t="s">
        <v>355</v>
      </c>
      <c r="U28" s="7" t="s">
        <v>114</v>
      </c>
      <c r="V28" s="9" t="s">
        <v>356</v>
      </c>
      <c r="W28" s="10" t="n">
        <v>40</v>
      </c>
      <c r="X28" s="10"/>
      <c r="Y28" s="7" t="s">
        <v>304</v>
      </c>
      <c r="Z28" s="7"/>
      <c r="AA28" s="7"/>
      <c r="AB28" s="7" t="s">
        <v>196</v>
      </c>
      <c r="AC28" s="7" t="s">
        <v>156</v>
      </c>
    </row>
    <row r="29" customFormat="false" ht="69.75" hidden="false" customHeight="true" outlineLevel="0" collapsed="false">
      <c r="A29" s="11" t="s">
        <v>357</v>
      </c>
      <c r="B29" s="11" t="s">
        <v>293</v>
      </c>
      <c r="C29" s="7" t="s">
        <v>358</v>
      </c>
      <c r="D29" s="7" t="s">
        <v>359</v>
      </c>
      <c r="E29" s="7" t="s">
        <v>360</v>
      </c>
      <c r="F29" s="8" t="n">
        <v>200000</v>
      </c>
      <c r="G29" s="8" t="n">
        <v>1500000</v>
      </c>
      <c r="H29" s="7" t="s">
        <v>361</v>
      </c>
      <c r="I29" s="7" t="s">
        <v>123</v>
      </c>
      <c r="J29" s="7" t="s">
        <v>362</v>
      </c>
      <c r="K29" s="7" t="s">
        <v>363</v>
      </c>
      <c r="L29" s="7" t="s">
        <v>299</v>
      </c>
      <c r="M29" s="7" t="s">
        <v>105</v>
      </c>
      <c r="N29" s="7" t="s">
        <v>300</v>
      </c>
      <c r="O29" s="7" t="s">
        <v>111</v>
      </c>
      <c r="P29" s="7" t="s">
        <v>111</v>
      </c>
      <c r="Q29" s="7" t="s">
        <v>192</v>
      </c>
      <c r="R29" s="7" t="s">
        <v>111</v>
      </c>
      <c r="S29" s="7" t="s">
        <v>364</v>
      </c>
      <c r="T29" s="7" t="s">
        <v>365</v>
      </c>
      <c r="U29" s="7" t="s">
        <v>114</v>
      </c>
      <c r="V29" s="9" t="s">
        <v>366</v>
      </c>
      <c r="W29" s="10" t="n">
        <v>40</v>
      </c>
      <c r="X29" s="10"/>
      <c r="Y29" s="7" t="s">
        <v>304</v>
      </c>
      <c r="Z29" s="7"/>
      <c r="AA29" s="7"/>
      <c r="AB29" s="7" t="s">
        <v>168</v>
      </c>
      <c r="AC29" s="7" t="s">
        <v>156</v>
      </c>
    </row>
    <row r="30" customFormat="false" ht="69.75" hidden="false" customHeight="true" outlineLevel="0" collapsed="false">
      <c r="A30" s="11" t="s">
        <v>367</v>
      </c>
      <c r="B30" s="11" t="s">
        <v>293</v>
      </c>
      <c r="C30" s="7" t="s">
        <v>368</v>
      </c>
      <c r="D30" s="7" t="s">
        <v>369</v>
      </c>
      <c r="E30" s="7" t="s">
        <v>370</v>
      </c>
      <c r="F30" s="8" t="n">
        <v>150000</v>
      </c>
      <c r="G30" s="8" t="n">
        <v>400000</v>
      </c>
      <c r="H30" s="7" t="s">
        <v>105</v>
      </c>
      <c r="I30" s="7" t="s">
        <v>123</v>
      </c>
      <c r="J30" s="7" t="s">
        <v>371</v>
      </c>
      <c r="K30" s="7" t="s">
        <v>372</v>
      </c>
      <c r="L30" s="7" t="s">
        <v>299</v>
      </c>
      <c r="M30" s="7" t="s">
        <v>123</v>
      </c>
      <c r="N30" s="7" t="s">
        <v>220</v>
      </c>
      <c r="O30" s="7" t="s">
        <v>111</v>
      </c>
      <c r="P30" s="7" t="s">
        <v>111</v>
      </c>
      <c r="Q30" s="7" t="s">
        <v>111</v>
      </c>
      <c r="R30" s="7" t="s">
        <v>111</v>
      </c>
      <c r="S30" s="7" t="s">
        <v>373</v>
      </c>
      <c r="T30" s="7" t="s">
        <v>374</v>
      </c>
      <c r="U30" s="7" t="s">
        <v>114</v>
      </c>
      <c r="V30" s="9" t="s">
        <v>375</v>
      </c>
      <c r="W30" s="10" t="n">
        <v>40</v>
      </c>
      <c r="X30" s="10"/>
      <c r="Y30" s="7" t="s">
        <v>304</v>
      </c>
      <c r="Z30" s="7"/>
      <c r="AA30" s="7"/>
      <c r="AB30" s="7"/>
      <c r="AC30" s="7" t="s">
        <v>156</v>
      </c>
    </row>
    <row r="31" customFormat="false" ht="69.75" hidden="false" customHeight="true" outlineLevel="0" collapsed="false">
      <c r="A31" s="11" t="s">
        <v>376</v>
      </c>
      <c r="B31" s="11" t="s">
        <v>293</v>
      </c>
      <c r="C31" s="7" t="s">
        <v>368</v>
      </c>
      <c r="D31" s="7" t="s">
        <v>377</v>
      </c>
      <c r="E31" s="7" t="s">
        <v>378</v>
      </c>
      <c r="F31" s="8" t="n">
        <v>200000</v>
      </c>
      <c r="G31" s="8" t="n">
        <v>600000</v>
      </c>
      <c r="H31" s="7" t="s">
        <v>105</v>
      </c>
      <c r="I31" s="7" t="s">
        <v>105</v>
      </c>
      <c r="J31" s="7" t="s">
        <v>379</v>
      </c>
      <c r="K31" s="7" t="s">
        <v>380</v>
      </c>
      <c r="L31" s="7" t="s">
        <v>299</v>
      </c>
      <c r="M31" s="7" t="s">
        <v>105</v>
      </c>
      <c r="N31" s="7" t="s">
        <v>300</v>
      </c>
      <c r="O31" s="7" t="s">
        <v>111</v>
      </c>
      <c r="P31" s="7" t="s">
        <v>111</v>
      </c>
      <c r="Q31" s="7" t="s">
        <v>111</v>
      </c>
      <c r="R31" s="7" t="s">
        <v>111</v>
      </c>
      <c r="S31" s="7" t="s">
        <v>381</v>
      </c>
      <c r="T31" s="7" t="s">
        <v>382</v>
      </c>
      <c r="U31" s="7" t="s">
        <v>114</v>
      </c>
      <c r="V31" s="9" t="s">
        <v>375</v>
      </c>
      <c r="W31" s="10" t="n">
        <v>40</v>
      </c>
      <c r="X31" s="10"/>
      <c r="Y31" s="7" t="s">
        <v>304</v>
      </c>
      <c r="Z31" s="7"/>
      <c r="AA31" s="7"/>
      <c r="AB31" s="7" t="s">
        <v>168</v>
      </c>
      <c r="AC31" s="7" t="s">
        <v>156</v>
      </c>
    </row>
    <row r="32" customFormat="false" ht="69.75" hidden="false" customHeight="true" outlineLevel="0" collapsed="false">
      <c r="A32" s="11" t="s">
        <v>383</v>
      </c>
      <c r="B32" s="11" t="s">
        <v>293</v>
      </c>
      <c r="C32" s="7" t="s">
        <v>384</v>
      </c>
      <c r="D32" s="7" t="s">
        <v>385</v>
      </c>
      <c r="E32" s="7" t="s">
        <v>386</v>
      </c>
      <c r="F32" s="8" t="n">
        <v>50000</v>
      </c>
      <c r="G32" s="8" t="n">
        <v>400000</v>
      </c>
      <c r="H32" s="7" t="s">
        <v>105</v>
      </c>
      <c r="I32" s="7" t="s">
        <v>123</v>
      </c>
      <c r="J32" s="7" t="s">
        <v>387</v>
      </c>
      <c r="K32" s="7" t="s">
        <v>388</v>
      </c>
      <c r="L32" s="7" t="s">
        <v>299</v>
      </c>
      <c r="M32" s="7" t="s">
        <v>123</v>
      </c>
      <c r="N32" s="7" t="s">
        <v>220</v>
      </c>
      <c r="O32" s="7" t="s">
        <v>111</v>
      </c>
      <c r="P32" s="7" t="s">
        <v>111</v>
      </c>
      <c r="Q32" s="7" t="s">
        <v>111</v>
      </c>
      <c r="R32" s="7" t="s">
        <v>111</v>
      </c>
      <c r="S32" s="7" t="s">
        <v>389</v>
      </c>
      <c r="T32" s="7" t="s">
        <v>390</v>
      </c>
      <c r="U32" s="7" t="s">
        <v>114</v>
      </c>
      <c r="V32" s="9" t="s">
        <v>391</v>
      </c>
      <c r="W32" s="10" t="n">
        <v>40</v>
      </c>
      <c r="X32" s="10"/>
      <c r="Y32" s="7" t="s">
        <v>304</v>
      </c>
      <c r="Z32" s="7"/>
      <c r="AA32" s="7"/>
      <c r="AB32" s="7" t="s">
        <v>168</v>
      </c>
      <c r="AC32" s="7" t="s">
        <v>156</v>
      </c>
    </row>
    <row r="33" customFormat="false" ht="69.75" hidden="false" customHeight="true" outlineLevel="0" collapsed="false">
      <c r="A33" s="11" t="s">
        <v>392</v>
      </c>
      <c r="B33" s="11" t="s">
        <v>293</v>
      </c>
      <c r="C33" s="7" t="s">
        <v>384</v>
      </c>
      <c r="D33" s="7" t="s">
        <v>393</v>
      </c>
      <c r="E33" s="7" t="s">
        <v>394</v>
      </c>
      <c r="F33" s="8" t="n">
        <v>100000</v>
      </c>
      <c r="G33" s="8" t="n">
        <v>500000</v>
      </c>
      <c r="H33" s="7" t="s">
        <v>105</v>
      </c>
      <c r="I33" s="7" t="s">
        <v>123</v>
      </c>
      <c r="J33" s="7" t="s">
        <v>395</v>
      </c>
      <c r="K33" s="7" t="s">
        <v>396</v>
      </c>
      <c r="L33" s="7" t="s">
        <v>299</v>
      </c>
      <c r="M33" s="7" t="s">
        <v>123</v>
      </c>
      <c r="N33" s="7" t="s">
        <v>220</v>
      </c>
      <c r="O33" s="7" t="s">
        <v>111</v>
      </c>
      <c r="P33" s="7" t="s">
        <v>192</v>
      </c>
      <c r="Q33" s="7" t="s">
        <v>111</v>
      </c>
      <c r="R33" s="7" t="s">
        <v>192</v>
      </c>
      <c r="S33" s="7" t="s">
        <v>397</v>
      </c>
      <c r="T33" s="7" t="s">
        <v>398</v>
      </c>
      <c r="U33" s="7" t="s">
        <v>114</v>
      </c>
      <c r="V33" s="9" t="s">
        <v>391</v>
      </c>
      <c r="W33" s="10" t="n">
        <v>40</v>
      </c>
      <c r="X33" s="10"/>
      <c r="Y33" s="7" t="s">
        <v>304</v>
      </c>
      <c r="Z33" s="7"/>
      <c r="AA33" s="7"/>
      <c r="AB33" s="7" t="s">
        <v>168</v>
      </c>
      <c r="AC33" s="7" t="s">
        <v>156</v>
      </c>
    </row>
    <row r="34" customFormat="false" ht="69.75" hidden="false" customHeight="true" outlineLevel="0" collapsed="false">
      <c r="A34" s="11" t="s">
        <v>399</v>
      </c>
      <c r="B34" s="11" t="s">
        <v>293</v>
      </c>
      <c r="C34" s="7" t="s">
        <v>384</v>
      </c>
      <c r="D34" s="7" t="s">
        <v>400</v>
      </c>
      <c r="E34" s="7" t="s">
        <v>401</v>
      </c>
      <c r="F34" s="8" t="n">
        <v>30000</v>
      </c>
      <c r="G34" s="8" t="n">
        <v>300000</v>
      </c>
      <c r="H34" s="7" t="s">
        <v>105</v>
      </c>
      <c r="I34" s="7" t="s">
        <v>123</v>
      </c>
      <c r="J34" s="7" t="s">
        <v>402</v>
      </c>
      <c r="K34" s="7" t="s">
        <v>403</v>
      </c>
      <c r="L34" s="7" t="s">
        <v>311</v>
      </c>
      <c r="M34" s="7" t="s">
        <v>123</v>
      </c>
      <c r="N34" s="7" t="s">
        <v>220</v>
      </c>
      <c r="O34" s="7" t="s">
        <v>111</v>
      </c>
      <c r="P34" s="7" t="s">
        <v>111</v>
      </c>
      <c r="Q34" s="7" t="s">
        <v>111</v>
      </c>
      <c r="R34" s="7" t="s">
        <v>111</v>
      </c>
      <c r="S34" s="7" t="s">
        <v>404</v>
      </c>
      <c r="T34" s="7" t="s">
        <v>405</v>
      </c>
      <c r="U34" s="7" t="s">
        <v>114</v>
      </c>
      <c r="V34" s="9" t="s">
        <v>391</v>
      </c>
      <c r="W34" s="10" t="n">
        <v>40</v>
      </c>
      <c r="X34" s="10"/>
      <c r="Y34" s="7" t="s">
        <v>304</v>
      </c>
      <c r="Z34" s="7"/>
      <c r="AA34" s="7"/>
      <c r="AB34" s="7" t="s">
        <v>168</v>
      </c>
      <c r="AC34" s="7" t="s">
        <v>156</v>
      </c>
    </row>
    <row r="35" customFormat="false" ht="69.75" hidden="false" customHeight="true" outlineLevel="0" collapsed="false">
      <c r="A35" s="11" t="s">
        <v>406</v>
      </c>
      <c r="B35" s="11" t="s">
        <v>293</v>
      </c>
      <c r="C35" s="7" t="s">
        <v>407</v>
      </c>
      <c r="D35" s="7" t="s">
        <v>408</v>
      </c>
      <c r="E35" s="7" t="s">
        <v>409</v>
      </c>
      <c r="F35" s="8" t="n">
        <v>50000</v>
      </c>
      <c r="G35" s="8" t="n">
        <v>300000</v>
      </c>
      <c r="H35" s="7" t="s">
        <v>105</v>
      </c>
      <c r="I35" s="7" t="s">
        <v>123</v>
      </c>
      <c r="J35" s="7" t="s">
        <v>410</v>
      </c>
      <c r="K35" s="7" t="s">
        <v>411</v>
      </c>
      <c r="L35" s="7" t="s">
        <v>311</v>
      </c>
      <c r="M35" s="7" t="s">
        <v>123</v>
      </c>
      <c r="N35" s="7" t="s">
        <v>220</v>
      </c>
      <c r="O35" s="7" t="s">
        <v>192</v>
      </c>
      <c r="P35" s="7" t="s">
        <v>111</v>
      </c>
      <c r="Q35" s="7" t="s">
        <v>192</v>
      </c>
      <c r="R35" s="7" t="s">
        <v>111</v>
      </c>
      <c r="S35" s="7" t="s">
        <v>412</v>
      </c>
      <c r="T35" s="7" t="s">
        <v>413</v>
      </c>
      <c r="U35" s="7" t="s">
        <v>114</v>
      </c>
      <c r="V35" s="9" t="s">
        <v>414</v>
      </c>
      <c r="W35" s="10" t="n">
        <v>40</v>
      </c>
      <c r="X35" s="10"/>
      <c r="Y35" s="7" t="s">
        <v>304</v>
      </c>
      <c r="Z35" s="7"/>
      <c r="AA35" s="7"/>
      <c r="AB35" s="7" t="s">
        <v>117</v>
      </c>
      <c r="AC35" s="7" t="s">
        <v>156</v>
      </c>
    </row>
    <row r="36" customFormat="false" ht="69.75" hidden="false" customHeight="true" outlineLevel="0" collapsed="false">
      <c r="A36" s="11" t="s">
        <v>415</v>
      </c>
      <c r="B36" s="11" t="s">
        <v>293</v>
      </c>
      <c r="C36" s="7" t="s">
        <v>416</v>
      </c>
      <c r="D36" s="7" t="s">
        <v>417</v>
      </c>
      <c r="E36" s="7" t="s">
        <v>418</v>
      </c>
      <c r="F36" s="8" t="n">
        <v>80000</v>
      </c>
      <c r="G36" s="8" t="n">
        <v>400000</v>
      </c>
      <c r="H36" s="7" t="s">
        <v>105</v>
      </c>
      <c r="I36" s="7" t="s">
        <v>123</v>
      </c>
      <c r="J36" s="7" t="s">
        <v>419</v>
      </c>
      <c r="K36" s="7" t="s">
        <v>420</v>
      </c>
      <c r="L36" s="7" t="s">
        <v>311</v>
      </c>
      <c r="M36" s="7" t="s">
        <v>123</v>
      </c>
      <c r="N36" s="7" t="s">
        <v>220</v>
      </c>
      <c r="O36" s="7" t="s">
        <v>111</v>
      </c>
      <c r="P36" s="7" t="s">
        <v>111</v>
      </c>
      <c r="Q36" s="7" t="s">
        <v>111</v>
      </c>
      <c r="R36" s="7" t="s">
        <v>111</v>
      </c>
      <c r="S36" s="7" t="s">
        <v>421</v>
      </c>
      <c r="T36" s="7" t="s">
        <v>422</v>
      </c>
      <c r="U36" s="7" t="s">
        <v>114</v>
      </c>
      <c r="V36" s="9" t="s">
        <v>423</v>
      </c>
      <c r="W36" s="10" t="n">
        <v>40</v>
      </c>
      <c r="X36" s="10"/>
      <c r="Y36" s="7" t="s">
        <v>304</v>
      </c>
      <c r="Z36" s="7"/>
      <c r="AA36" s="7"/>
      <c r="AB36" s="7" t="s">
        <v>305</v>
      </c>
      <c r="AC36" s="7" t="s">
        <v>156</v>
      </c>
    </row>
    <row r="37" customFormat="false" ht="69.75" hidden="false" customHeight="true" outlineLevel="0" collapsed="false">
      <c r="A37" s="12" t="s">
        <v>424</v>
      </c>
      <c r="B37" s="12" t="s">
        <v>425</v>
      </c>
      <c r="C37" s="7" t="s">
        <v>426</v>
      </c>
      <c r="D37" s="7" t="s">
        <v>427</v>
      </c>
      <c r="E37" s="7" t="s">
        <v>428</v>
      </c>
      <c r="F37" s="8" t="n">
        <v>250000</v>
      </c>
      <c r="G37" s="8" t="n">
        <v>600000</v>
      </c>
      <c r="H37" s="7" t="s">
        <v>105</v>
      </c>
      <c r="I37" s="7" t="s">
        <v>123</v>
      </c>
      <c r="J37" s="7" t="s">
        <v>429</v>
      </c>
      <c r="K37" s="7" t="s">
        <v>430</v>
      </c>
      <c r="L37" s="7" t="s">
        <v>299</v>
      </c>
      <c r="M37" s="7" t="s">
        <v>105</v>
      </c>
      <c r="N37" s="7" t="s">
        <v>300</v>
      </c>
      <c r="O37" s="7" t="s">
        <v>111</v>
      </c>
      <c r="P37" s="7" t="s">
        <v>111</v>
      </c>
      <c r="Q37" s="7" t="s">
        <v>111</v>
      </c>
      <c r="R37" s="7" t="s">
        <v>111</v>
      </c>
      <c r="S37" s="7" t="s">
        <v>431</v>
      </c>
      <c r="T37" s="7" t="s">
        <v>432</v>
      </c>
      <c r="U37" s="7" t="s">
        <v>114</v>
      </c>
      <c r="V37" s="9" t="s">
        <v>433</v>
      </c>
      <c r="W37" s="10" t="n">
        <v>80</v>
      </c>
      <c r="X37" s="10" t="n">
        <v>380</v>
      </c>
      <c r="Y37" s="7" t="s">
        <v>434</v>
      </c>
      <c r="Z37" s="7"/>
      <c r="AA37" s="7"/>
      <c r="AB37" s="7"/>
      <c r="AC37" s="7" t="s">
        <v>156</v>
      </c>
    </row>
    <row r="38" customFormat="false" ht="69.75" hidden="false" customHeight="true" outlineLevel="0" collapsed="false">
      <c r="A38" s="12" t="s">
        <v>435</v>
      </c>
      <c r="B38" s="12" t="s">
        <v>425</v>
      </c>
      <c r="C38" s="7" t="s">
        <v>426</v>
      </c>
      <c r="D38" s="7" t="s">
        <v>436</v>
      </c>
      <c r="E38" s="7" t="s">
        <v>437</v>
      </c>
      <c r="F38" s="8" t="n">
        <v>400000</v>
      </c>
      <c r="G38" s="8" t="n">
        <v>1500000</v>
      </c>
      <c r="H38" s="7" t="s">
        <v>361</v>
      </c>
      <c r="I38" s="7" t="s">
        <v>105</v>
      </c>
      <c r="J38" s="7" t="s">
        <v>438</v>
      </c>
      <c r="K38" s="7" t="s">
        <v>439</v>
      </c>
      <c r="L38" s="7" t="s">
        <v>299</v>
      </c>
      <c r="M38" s="7" t="s">
        <v>105</v>
      </c>
      <c r="N38" s="7" t="s">
        <v>300</v>
      </c>
      <c r="O38" s="7" t="s">
        <v>111</v>
      </c>
      <c r="P38" s="7" t="s">
        <v>111</v>
      </c>
      <c r="Q38" s="7" t="s">
        <v>111</v>
      </c>
      <c r="R38" s="7" t="s">
        <v>111</v>
      </c>
      <c r="S38" s="7" t="s">
        <v>440</v>
      </c>
      <c r="T38" s="7" t="s">
        <v>441</v>
      </c>
      <c r="U38" s="7" t="s">
        <v>114</v>
      </c>
      <c r="V38" s="9" t="s">
        <v>442</v>
      </c>
      <c r="W38" s="10" t="n">
        <v>80</v>
      </c>
      <c r="X38" s="10" t="n">
        <v>380</v>
      </c>
      <c r="Y38" s="7" t="s">
        <v>434</v>
      </c>
      <c r="Z38" s="7"/>
      <c r="AA38" s="7"/>
      <c r="AB38" s="7"/>
      <c r="AC38" s="7" t="s">
        <v>156</v>
      </c>
    </row>
    <row r="39" customFormat="false" ht="69.75" hidden="false" customHeight="true" outlineLevel="0" collapsed="false">
      <c r="A39" s="12" t="s">
        <v>443</v>
      </c>
      <c r="B39" s="12" t="s">
        <v>425</v>
      </c>
      <c r="C39" s="7" t="s">
        <v>426</v>
      </c>
      <c r="D39" s="7" t="s">
        <v>444</v>
      </c>
      <c r="E39" s="7" t="s">
        <v>445</v>
      </c>
      <c r="F39" s="8" t="n">
        <v>200000</v>
      </c>
      <c r="G39" s="8" t="n">
        <v>500000</v>
      </c>
      <c r="H39" s="7" t="s">
        <v>105</v>
      </c>
      <c r="I39" s="7" t="s">
        <v>123</v>
      </c>
      <c r="J39" s="7" t="s">
        <v>446</v>
      </c>
      <c r="K39" s="7" t="s">
        <v>447</v>
      </c>
      <c r="L39" s="7" t="s">
        <v>299</v>
      </c>
      <c r="M39" s="7" t="s">
        <v>105</v>
      </c>
      <c r="N39" s="7" t="s">
        <v>300</v>
      </c>
      <c r="O39" s="7" t="s">
        <v>111</v>
      </c>
      <c r="P39" s="7" t="s">
        <v>111</v>
      </c>
      <c r="Q39" s="7" t="s">
        <v>192</v>
      </c>
      <c r="R39" s="7" t="s">
        <v>192</v>
      </c>
      <c r="S39" s="7" t="s">
        <v>448</v>
      </c>
      <c r="T39" s="7" t="s">
        <v>449</v>
      </c>
      <c r="U39" s="7" t="s">
        <v>114</v>
      </c>
      <c r="V39" s="9" t="s">
        <v>450</v>
      </c>
      <c r="W39" s="10" t="n">
        <v>80</v>
      </c>
      <c r="X39" s="10" t="n">
        <v>380</v>
      </c>
      <c r="Y39" s="7" t="s">
        <v>434</v>
      </c>
      <c r="Z39" s="7"/>
      <c r="AA39" s="7"/>
      <c r="AB39" s="7"/>
      <c r="AC39" s="7" t="s">
        <v>156</v>
      </c>
    </row>
    <row r="40" customFormat="false" ht="69.75" hidden="false" customHeight="true" outlineLevel="0" collapsed="false">
      <c r="A40" s="12" t="s">
        <v>451</v>
      </c>
      <c r="B40" s="12" t="s">
        <v>425</v>
      </c>
      <c r="C40" s="7" t="s">
        <v>452</v>
      </c>
      <c r="D40" s="7" t="s">
        <v>453</v>
      </c>
      <c r="E40" s="7" t="s">
        <v>454</v>
      </c>
      <c r="F40" s="8" t="n">
        <v>200000</v>
      </c>
      <c r="G40" s="8" t="n">
        <v>800000</v>
      </c>
      <c r="H40" s="7" t="s">
        <v>105</v>
      </c>
      <c r="I40" s="7" t="s">
        <v>123</v>
      </c>
      <c r="J40" s="7" t="s">
        <v>455</v>
      </c>
      <c r="K40" s="7" t="s">
        <v>456</v>
      </c>
      <c r="L40" s="7" t="s">
        <v>299</v>
      </c>
      <c r="M40" s="7" t="s">
        <v>105</v>
      </c>
      <c r="N40" s="7" t="s">
        <v>300</v>
      </c>
      <c r="O40" s="7" t="s">
        <v>111</v>
      </c>
      <c r="P40" s="7" t="s">
        <v>111</v>
      </c>
      <c r="Q40" s="7" t="s">
        <v>111</v>
      </c>
      <c r="R40" s="7" t="s">
        <v>111</v>
      </c>
      <c r="S40" s="7" t="s">
        <v>457</v>
      </c>
      <c r="T40" s="7" t="s">
        <v>458</v>
      </c>
      <c r="U40" s="7" t="s">
        <v>114</v>
      </c>
      <c r="V40" s="9" t="s">
        <v>459</v>
      </c>
      <c r="W40" s="10" t="n">
        <v>120</v>
      </c>
      <c r="X40" s="10" t="n">
        <v>100</v>
      </c>
      <c r="Y40" s="7" t="s">
        <v>460</v>
      </c>
      <c r="Z40" s="7"/>
      <c r="AA40" s="7"/>
      <c r="AB40" s="7"/>
      <c r="AC40" s="7" t="s">
        <v>156</v>
      </c>
    </row>
    <row r="41" customFormat="false" ht="69.75" hidden="false" customHeight="true" outlineLevel="0" collapsed="false">
      <c r="A41" s="12" t="s">
        <v>461</v>
      </c>
      <c r="B41" s="12" t="s">
        <v>425</v>
      </c>
      <c r="C41" s="7" t="s">
        <v>452</v>
      </c>
      <c r="D41" s="7" t="s">
        <v>462</v>
      </c>
      <c r="E41" s="7" t="s">
        <v>463</v>
      </c>
      <c r="F41" s="8" t="n">
        <v>150000</v>
      </c>
      <c r="G41" s="8" t="n">
        <v>500000</v>
      </c>
      <c r="H41" s="7" t="s">
        <v>105</v>
      </c>
      <c r="I41" s="7" t="s">
        <v>123</v>
      </c>
      <c r="J41" s="7" t="s">
        <v>464</v>
      </c>
      <c r="K41" s="7" t="s">
        <v>465</v>
      </c>
      <c r="L41" s="7" t="s">
        <v>299</v>
      </c>
      <c r="M41" s="7" t="s">
        <v>105</v>
      </c>
      <c r="N41" s="7" t="s">
        <v>300</v>
      </c>
      <c r="O41" s="7" t="s">
        <v>111</v>
      </c>
      <c r="P41" s="7" t="s">
        <v>111</v>
      </c>
      <c r="Q41" s="7" t="s">
        <v>111</v>
      </c>
      <c r="R41" s="7" t="s">
        <v>192</v>
      </c>
      <c r="S41" s="7" t="s">
        <v>466</v>
      </c>
      <c r="T41" s="7" t="s">
        <v>467</v>
      </c>
      <c r="U41" s="7" t="s">
        <v>114</v>
      </c>
      <c r="V41" s="9" t="s">
        <v>468</v>
      </c>
      <c r="W41" s="10" t="n">
        <v>120</v>
      </c>
      <c r="X41" s="10" t="n">
        <v>100</v>
      </c>
      <c r="Y41" s="7" t="s">
        <v>460</v>
      </c>
      <c r="Z41" s="7"/>
      <c r="AA41" s="7"/>
      <c r="AB41" s="7"/>
      <c r="AC41" s="12" t="s">
        <v>469</v>
      </c>
    </row>
    <row r="42" customFormat="false" ht="69.75" hidden="false" customHeight="true" outlineLevel="0" collapsed="false">
      <c r="A42" s="12" t="s">
        <v>470</v>
      </c>
      <c r="B42" s="12" t="s">
        <v>425</v>
      </c>
      <c r="C42" s="7" t="s">
        <v>452</v>
      </c>
      <c r="D42" s="7" t="s">
        <v>471</v>
      </c>
      <c r="E42" s="7" t="s">
        <v>472</v>
      </c>
      <c r="F42" s="8" t="n">
        <v>100000</v>
      </c>
      <c r="G42" s="8" t="n">
        <v>400000</v>
      </c>
      <c r="H42" s="7" t="s">
        <v>105</v>
      </c>
      <c r="I42" s="7" t="s">
        <v>123</v>
      </c>
      <c r="J42" s="7" t="s">
        <v>473</v>
      </c>
      <c r="K42" s="7" t="s">
        <v>474</v>
      </c>
      <c r="L42" s="7" t="s">
        <v>311</v>
      </c>
      <c r="M42" s="7" t="s">
        <v>123</v>
      </c>
      <c r="N42" s="7" t="s">
        <v>220</v>
      </c>
      <c r="O42" s="7" t="s">
        <v>111</v>
      </c>
      <c r="P42" s="7" t="s">
        <v>111</v>
      </c>
      <c r="Q42" s="7" t="s">
        <v>111</v>
      </c>
      <c r="R42" s="7" t="s">
        <v>111</v>
      </c>
      <c r="S42" s="7" t="s">
        <v>475</v>
      </c>
      <c r="T42" s="7" t="s">
        <v>476</v>
      </c>
      <c r="U42" s="7" t="s">
        <v>114</v>
      </c>
      <c r="V42" s="9" t="s">
        <v>477</v>
      </c>
      <c r="W42" s="10" t="n">
        <v>120</v>
      </c>
      <c r="X42" s="10" t="n">
        <v>100</v>
      </c>
      <c r="Y42" s="7" t="s">
        <v>460</v>
      </c>
      <c r="Z42" s="7"/>
      <c r="AA42" s="7"/>
      <c r="AB42" s="7"/>
      <c r="AC42" s="7" t="s">
        <v>156</v>
      </c>
    </row>
    <row r="43" customFormat="false" ht="69.75" hidden="false" customHeight="true" outlineLevel="0" collapsed="false">
      <c r="A43" s="12" t="s">
        <v>478</v>
      </c>
      <c r="B43" s="12" t="s">
        <v>425</v>
      </c>
      <c r="C43" s="7" t="s">
        <v>452</v>
      </c>
      <c r="D43" s="7" t="s">
        <v>479</v>
      </c>
      <c r="E43" s="7" t="s">
        <v>480</v>
      </c>
      <c r="F43" s="8" t="n">
        <v>150000</v>
      </c>
      <c r="G43" s="8" t="n">
        <v>500000</v>
      </c>
      <c r="H43" s="7" t="s">
        <v>105</v>
      </c>
      <c r="I43" s="7" t="s">
        <v>123</v>
      </c>
      <c r="J43" s="7" t="s">
        <v>481</v>
      </c>
      <c r="K43" s="7" t="s">
        <v>482</v>
      </c>
      <c r="L43" s="7" t="s">
        <v>299</v>
      </c>
      <c r="M43" s="7" t="s">
        <v>123</v>
      </c>
      <c r="N43" s="7" t="s">
        <v>300</v>
      </c>
      <c r="O43" s="7" t="s">
        <v>111</v>
      </c>
      <c r="P43" s="7" t="s">
        <v>111</v>
      </c>
      <c r="Q43" s="7" t="s">
        <v>111</v>
      </c>
      <c r="R43" s="7" t="s">
        <v>111</v>
      </c>
      <c r="S43" s="7" t="s">
        <v>483</v>
      </c>
      <c r="T43" s="7" t="s">
        <v>484</v>
      </c>
      <c r="U43" s="7" t="s">
        <v>114</v>
      </c>
      <c r="V43" s="9" t="s">
        <v>485</v>
      </c>
      <c r="W43" s="10" t="n">
        <v>120</v>
      </c>
      <c r="X43" s="10" t="n">
        <v>100</v>
      </c>
      <c r="Y43" s="7" t="s">
        <v>460</v>
      </c>
      <c r="Z43" s="7"/>
      <c r="AA43" s="7"/>
      <c r="AB43" s="7"/>
      <c r="AC43" s="7" t="s">
        <v>156</v>
      </c>
    </row>
    <row r="44" customFormat="false" ht="69.75" hidden="false" customHeight="true" outlineLevel="0" collapsed="false">
      <c r="A44" s="12" t="s">
        <v>486</v>
      </c>
      <c r="B44" s="12" t="s">
        <v>425</v>
      </c>
      <c r="C44" s="7" t="s">
        <v>487</v>
      </c>
      <c r="D44" s="7" t="s">
        <v>488</v>
      </c>
      <c r="E44" s="7" t="s">
        <v>489</v>
      </c>
      <c r="F44" s="8" t="n">
        <v>50000</v>
      </c>
      <c r="G44" s="8" t="n">
        <v>200000</v>
      </c>
      <c r="H44" s="7" t="s">
        <v>123</v>
      </c>
      <c r="I44" s="7" t="s">
        <v>123</v>
      </c>
      <c r="J44" s="7" t="s">
        <v>490</v>
      </c>
      <c r="K44" s="7" t="s">
        <v>491</v>
      </c>
      <c r="L44" s="7" t="s">
        <v>311</v>
      </c>
      <c r="M44" s="7" t="s">
        <v>123</v>
      </c>
      <c r="N44" s="7" t="s">
        <v>220</v>
      </c>
      <c r="O44" s="7" t="s">
        <v>111</v>
      </c>
      <c r="P44" s="7" t="s">
        <v>111</v>
      </c>
      <c r="Q44" s="7" t="s">
        <v>111</v>
      </c>
      <c r="R44" s="7" t="s">
        <v>111</v>
      </c>
      <c r="S44" s="7" t="s">
        <v>492</v>
      </c>
      <c r="T44" s="7" t="s">
        <v>493</v>
      </c>
      <c r="U44" s="7" t="s">
        <v>114</v>
      </c>
      <c r="V44" s="9" t="s">
        <v>494</v>
      </c>
      <c r="W44" s="10" t="n">
        <v>40</v>
      </c>
      <c r="X44" s="10"/>
      <c r="Y44" s="7" t="s">
        <v>495</v>
      </c>
      <c r="Z44" s="7"/>
      <c r="AA44" s="7"/>
      <c r="AB44" s="7"/>
      <c r="AC44" s="7" t="s">
        <v>156</v>
      </c>
    </row>
    <row r="45" customFormat="false" ht="69.75" hidden="false" customHeight="true" outlineLevel="0" collapsed="false">
      <c r="A45" s="12" t="s">
        <v>496</v>
      </c>
      <c r="B45" s="12" t="s">
        <v>425</v>
      </c>
      <c r="C45" s="7" t="s">
        <v>487</v>
      </c>
      <c r="D45" s="7" t="s">
        <v>497</v>
      </c>
      <c r="E45" s="7" t="s">
        <v>498</v>
      </c>
      <c r="F45" s="8" t="n">
        <v>50000</v>
      </c>
      <c r="G45" s="8" t="n">
        <v>300000</v>
      </c>
      <c r="H45" s="7" t="s">
        <v>123</v>
      </c>
      <c r="I45" s="7" t="s">
        <v>123</v>
      </c>
      <c r="J45" s="7" t="s">
        <v>499</v>
      </c>
      <c r="K45" s="7" t="s">
        <v>500</v>
      </c>
      <c r="L45" s="7" t="s">
        <v>311</v>
      </c>
      <c r="M45" s="7" t="s">
        <v>123</v>
      </c>
      <c r="N45" s="7" t="s">
        <v>220</v>
      </c>
      <c r="O45" s="7" t="s">
        <v>111</v>
      </c>
      <c r="P45" s="7" t="s">
        <v>111</v>
      </c>
      <c r="Q45" s="7" t="s">
        <v>111</v>
      </c>
      <c r="R45" s="7" t="s">
        <v>111</v>
      </c>
      <c r="S45" s="7" t="s">
        <v>501</v>
      </c>
      <c r="T45" s="7" t="s">
        <v>502</v>
      </c>
      <c r="U45" s="7" t="s">
        <v>114</v>
      </c>
      <c r="V45" s="9" t="s">
        <v>494</v>
      </c>
      <c r="W45" s="10" t="n">
        <v>40</v>
      </c>
      <c r="X45" s="10"/>
      <c r="Y45" s="7" t="s">
        <v>495</v>
      </c>
      <c r="Z45" s="7"/>
      <c r="AA45" s="7"/>
      <c r="AB45" s="7"/>
      <c r="AC45" s="7" t="s">
        <v>156</v>
      </c>
    </row>
    <row r="46" customFormat="false" ht="69.75" hidden="false" customHeight="true" outlineLevel="0" collapsed="false">
      <c r="A46" s="12" t="s">
        <v>503</v>
      </c>
      <c r="B46" s="12" t="s">
        <v>425</v>
      </c>
      <c r="C46" s="7" t="s">
        <v>504</v>
      </c>
      <c r="D46" s="7" t="s">
        <v>505</v>
      </c>
      <c r="E46" s="7" t="s">
        <v>506</v>
      </c>
      <c r="F46" s="8" t="n">
        <v>200000</v>
      </c>
      <c r="G46" s="8" t="n">
        <v>350000</v>
      </c>
      <c r="H46" s="7" t="s">
        <v>105</v>
      </c>
      <c r="I46" s="7" t="s">
        <v>105</v>
      </c>
      <c r="J46" s="7" t="s">
        <v>507</v>
      </c>
      <c r="K46" s="7" t="s">
        <v>508</v>
      </c>
      <c r="L46" s="7" t="s">
        <v>299</v>
      </c>
      <c r="M46" s="7" t="s">
        <v>105</v>
      </c>
      <c r="N46" s="7" t="s">
        <v>300</v>
      </c>
      <c r="O46" s="7" t="s">
        <v>111</v>
      </c>
      <c r="P46" s="7" t="s">
        <v>111</v>
      </c>
      <c r="Q46" s="7" t="s">
        <v>111</v>
      </c>
      <c r="R46" s="7" t="s">
        <v>111</v>
      </c>
      <c r="S46" s="7" t="s">
        <v>509</v>
      </c>
      <c r="T46" s="7" t="s">
        <v>510</v>
      </c>
      <c r="U46" s="7" t="s">
        <v>114</v>
      </c>
      <c r="V46" s="9" t="s">
        <v>511</v>
      </c>
      <c r="W46" s="10" t="n">
        <v>50</v>
      </c>
      <c r="X46" s="10" t="n">
        <v>250</v>
      </c>
      <c r="Y46" s="7" t="s">
        <v>512</v>
      </c>
      <c r="Z46" s="7"/>
      <c r="AA46" s="7"/>
      <c r="AB46" s="7"/>
      <c r="AC46" s="12" t="s">
        <v>469</v>
      </c>
    </row>
    <row r="47" customFormat="false" ht="69.75" hidden="false" customHeight="true" outlineLevel="0" collapsed="false">
      <c r="A47" s="12" t="s">
        <v>513</v>
      </c>
      <c r="B47" s="12" t="s">
        <v>425</v>
      </c>
      <c r="C47" s="7" t="s">
        <v>504</v>
      </c>
      <c r="D47" s="7" t="s">
        <v>514</v>
      </c>
      <c r="E47" s="7" t="s">
        <v>515</v>
      </c>
      <c r="F47" s="8" t="n">
        <v>250000</v>
      </c>
      <c r="G47" s="8" t="n">
        <v>600000</v>
      </c>
      <c r="H47" s="7" t="s">
        <v>105</v>
      </c>
      <c r="I47" s="7" t="s">
        <v>123</v>
      </c>
      <c r="J47" s="7" t="s">
        <v>516</v>
      </c>
      <c r="K47" s="7" t="s">
        <v>517</v>
      </c>
      <c r="L47" s="7" t="s">
        <v>299</v>
      </c>
      <c r="M47" s="7" t="s">
        <v>105</v>
      </c>
      <c r="N47" s="7" t="s">
        <v>300</v>
      </c>
      <c r="O47" s="7" t="s">
        <v>111</v>
      </c>
      <c r="P47" s="7" t="s">
        <v>111</v>
      </c>
      <c r="Q47" s="7" t="s">
        <v>111</v>
      </c>
      <c r="R47" s="7" t="s">
        <v>192</v>
      </c>
      <c r="S47" s="7" t="s">
        <v>518</v>
      </c>
      <c r="T47" s="7" t="s">
        <v>519</v>
      </c>
      <c r="U47" s="7" t="s">
        <v>114</v>
      </c>
      <c r="V47" s="9" t="s">
        <v>511</v>
      </c>
      <c r="W47" s="10" t="n">
        <v>50</v>
      </c>
      <c r="X47" s="10" t="n">
        <v>250</v>
      </c>
      <c r="Y47" s="7" t="s">
        <v>512</v>
      </c>
      <c r="Z47" s="7"/>
      <c r="AA47" s="7"/>
      <c r="AB47" s="7"/>
      <c r="AC47" s="12" t="s">
        <v>469</v>
      </c>
    </row>
    <row r="48" customFormat="false" ht="69.75" hidden="false" customHeight="true" outlineLevel="0" collapsed="false">
      <c r="A48" s="12" t="s">
        <v>520</v>
      </c>
      <c r="B48" s="12" t="s">
        <v>425</v>
      </c>
      <c r="C48" s="7" t="s">
        <v>521</v>
      </c>
      <c r="D48" s="7" t="s">
        <v>522</v>
      </c>
      <c r="E48" s="7" t="s">
        <v>523</v>
      </c>
      <c r="F48" s="8" t="n">
        <v>50000</v>
      </c>
      <c r="G48" s="8" t="n">
        <v>200000</v>
      </c>
      <c r="H48" s="7" t="s">
        <v>123</v>
      </c>
      <c r="I48" s="7" t="s">
        <v>106</v>
      </c>
      <c r="J48" s="7" t="s">
        <v>524</v>
      </c>
      <c r="K48" s="7" t="s">
        <v>525</v>
      </c>
      <c r="L48" s="7" t="s">
        <v>311</v>
      </c>
      <c r="M48" s="7" t="s">
        <v>106</v>
      </c>
      <c r="N48" s="7" t="s">
        <v>220</v>
      </c>
      <c r="O48" s="7" t="s">
        <v>111</v>
      </c>
      <c r="P48" s="7" t="s">
        <v>111</v>
      </c>
      <c r="Q48" s="7" t="s">
        <v>111</v>
      </c>
      <c r="R48" s="7" t="s">
        <v>111</v>
      </c>
      <c r="S48" s="7" t="s">
        <v>526</v>
      </c>
      <c r="T48" s="7" t="s">
        <v>527</v>
      </c>
      <c r="U48" s="7" t="s">
        <v>114</v>
      </c>
      <c r="V48" s="9" t="s">
        <v>528</v>
      </c>
      <c r="W48" s="10" t="n">
        <v>30</v>
      </c>
      <c r="X48" s="10" t="n">
        <v>40</v>
      </c>
      <c r="Y48" s="7" t="s">
        <v>529</v>
      </c>
      <c r="Z48" s="7"/>
      <c r="AA48" s="7"/>
      <c r="AB48" s="7"/>
      <c r="AC48" s="12" t="s">
        <v>469</v>
      </c>
    </row>
    <row r="49" customFormat="false" ht="69.75" hidden="false" customHeight="true" outlineLevel="0" collapsed="false">
      <c r="A49" s="12" t="s">
        <v>530</v>
      </c>
      <c r="B49" s="12" t="s">
        <v>425</v>
      </c>
      <c r="C49" s="7" t="s">
        <v>521</v>
      </c>
      <c r="D49" s="7" t="s">
        <v>531</v>
      </c>
      <c r="E49" s="7" t="s">
        <v>532</v>
      </c>
      <c r="F49" s="8" t="n">
        <v>20000</v>
      </c>
      <c r="G49" s="8" t="n">
        <v>80000</v>
      </c>
      <c r="H49" s="7" t="s">
        <v>123</v>
      </c>
      <c r="I49" s="7" t="s">
        <v>106</v>
      </c>
      <c r="J49" s="7" t="s">
        <v>533</v>
      </c>
      <c r="K49" s="7" t="s">
        <v>534</v>
      </c>
      <c r="L49" s="7" t="s">
        <v>311</v>
      </c>
      <c r="M49" s="7" t="s">
        <v>106</v>
      </c>
      <c r="N49" s="7" t="s">
        <v>110</v>
      </c>
      <c r="O49" s="7" t="s">
        <v>111</v>
      </c>
      <c r="P49" s="7" t="s">
        <v>111</v>
      </c>
      <c r="Q49" s="7" t="s">
        <v>111</v>
      </c>
      <c r="R49" s="7" t="s">
        <v>111</v>
      </c>
      <c r="S49" s="7" t="s">
        <v>535</v>
      </c>
      <c r="T49" s="7" t="s">
        <v>536</v>
      </c>
      <c r="U49" s="7" t="s">
        <v>114</v>
      </c>
      <c r="V49" s="9" t="s">
        <v>528</v>
      </c>
      <c r="W49" s="10" t="n">
        <v>30</v>
      </c>
      <c r="X49" s="10" t="n">
        <v>40</v>
      </c>
      <c r="Y49" s="7" t="s">
        <v>529</v>
      </c>
      <c r="Z49" s="7"/>
      <c r="AA49" s="7"/>
      <c r="AB49" s="7"/>
      <c r="AC49" s="12" t="s">
        <v>469</v>
      </c>
    </row>
    <row r="50" customFormat="false" ht="69.75" hidden="false" customHeight="true" outlineLevel="0" collapsed="false">
      <c r="A50" s="12" t="s">
        <v>537</v>
      </c>
      <c r="B50" s="12" t="s">
        <v>425</v>
      </c>
      <c r="C50" s="7" t="s">
        <v>538</v>
      </c>
      <c r="D50" s="7" t="s">
        <v>539</v>
      </c>
      <c r="E50" s="7" t="s">
        <v>540</v>
      </c>
      <c r="F50" s="8" t="n">
        <v>50000</v>
      </c>
      <c r="G50" s="8" t="n">
        <v>200000</v>
      </c>
      <c r="H50" s="7" t="s">
        <v>123</v>
      </c>
      <c r="I50" s="7" t="s">
        <v>106</v>
      </c>
      <c r="J50" s="7" t="s">
        <v>541</v>
      </c>
      <c r="K50" s="7" t="s">
        <v>542</v>
      </c>
      <c r="L50" s="7" t="s">
        <v>311</v>
      </c>
      <c r="M50" s="7" t="s">
        <v>106</v>
      </c>
      <c r="N50" s="7" t="s">
        <v>220</v>
      </c>
      <c r="O50" s="7" t="s">
        <v>111</v>
      </c>
      <c r="P50" s="7" t="s">
        <v>111</v>
      </c>
      <c r="Q50" s="7" t="s">
        <v>111</v>
      </c>
      <c r="R50" s="7" t="s">
        <v>111</v>
      </c>
      <c r="S50" s="7" t="s">
        <v>543</v>
      </c>
      <c r="T50" s="7" t="s">
        <v>544</v>
      </c>
      <c r="U50" s="7" t="s">
        <v>114</v>
      </c>
      <c r="V50" s="9" t="s">
        <v>545</v>
      </c>
      <c r="W50" s="10" t="n">
        <v>80</v>
      </c>
      <c r="X50" s="10" t="n">
        <v>24</v>
      </c>
      <c r="Y50" s="7" t="s">
        <v>546</v>
      </c>
      <c r="Z50" s="7"/>
      <c r="AA50" s="7"/>
      <c r="AB50" s="7"/>
      <c r="AC50" s="7" t="s">
        <v>156</v>
      </c>
    </row>
    <row r="51" customFormat="false" ht="69.75" hidden="false" customHeight="true" outlineLevel="0" collapsed="false">
      <c r="A51" s="12" t="s">
        <v>547</v>
      </c>
      <c r="B51" s="12" t="s">
        <v>425</v>
      </c>
      <c r="C51" s="7" t="s">
        <v>538</v>
      </c>
      <c r="D51" s="7" t="s">
        <v>548</v>
      </c>
      <c r="E51" s="7" t="s">
        <v>549</v>
      </c>
      <c r="F51" s="8" t="n">
        <v>150000</v>
      </c>
      <c r="G51" s="8" t="n">
        <v>500000</v>
      </c>
      <c r="H51" s="7" t="s">
        <v>105</v>
      </c>
      <c r="I51" s="7" t="s">
        <v>123</v>
      </c>
      <c r="J51" s="7" t="s">
        <v>550</v>
      </c>
      <c r="K51" s="7" t="s">
        <v>551</v>
      </c>
      <c r="L51" s="7" t="s">
        <v>299</v>
      </c>
      <c r="M51" s="7" t="s">
        <v>105</v>
      </c>
      <c r="N51" s="7" t="s">
        <v>300</v>
      </c>
      <c r="O51" s="7" t="s">
        <v>111</v>
      </c>
      <c r="P51" s="7" t="s">
        <v>111</v>
      </c>
      <c r="Q51" s="7" t="s">
        <v>111</v>
      </c>
      <c r="R51" s="7" t="s">
        <v>111</v>
      </c>
      <c r="S51" s="7" t="s">
        <v>552</v>
      </c>
      <c r="T51" s="7" t="s">
        <v>553</v>
      </c>
      <c r="U51" s="7" t="s">
        <v>114</v>
      </c>
      <c r="V51" s="9" t="s">
        <v>468</v>
      </c>
      <c r="W51" s="10" t="n">
        <v>80</v>
      </c>
      <c r="X51" s="10" t="n">
        <v>24</v>
      </c>
      <c r="Y51" s="7" t="s">
        <v>546</v>
      </c>
      <c r="Z51" s="7"/>
      <c r="AA51" s="7"/>
      <c r="AB51" s="7"/>
      <c r="AC51" s="12" t="s">
        <v>469</v>
      </c>
    </row>
    <row r="52" customFormat="false" ht="69.75" hidden="false" customHeight="true" outlineLevel="0" collapsed="false">
      <c r="A52" s="12" t="s">
        <v>554</v>
      </c>
      <c r="B52" s="12" t="s">
        <v>425</v>
      </c>
      <c r="C52" s="7" t="s">
        <v>538</v>
      </c>
      <c r="D52" s="7" t="s">
        <v>555</v>
      </c>
      <c r="E52" s="7" t="s">
        <v>556</v>
      </c>
      <c r="F52" s="8" t="n">
        <v>200000</v>
      </c>
      <c r="G52" s="8" t="n">
        <v>800000</v>
      </c>
      <c r="H52" s="7" t="s">
        <v>105</v>
      </c>
      <c r="I52" s="7" t="s">
        <v>123</v>
      </c>
      <c r="J52" s="7" t="s">
        <v>557</v>
      </c>
      <c r="K52" s="7" t="s">
        <v>558</v>
      </c>
      <c r="L52" s="7" t="s">
        <v>299</v>
      </c>
      <c r="M52" s="7" t="s">
        <v>105</v>
      </c>
      <c r="N52" s="7" t="s">
        <v>300</v>
      </c>
      <c r="O52" s="7" t="s">
        <v>111</v>
      </c>
      <c r="P52" s="7" t="s">
        <v>111</v>
      </c>
      <c r="Q52" s="7" t="s">
        <v>192</v>
      </c>
      <c r="R52" s="7" t="s">
        <v>192</v>
      </c>
      <c r="S52" s="7" t="s">
        <v>559</v>
      </c>
      <c r="T52" s="7" t="s">
        <v>560</v>
      </c>
      <c r="U52" s="7" t="s">
        <v>114</v>
      </c>
      <c r="V52" s="9" t="s">
        <v>468</v>
      </c>
      <c r="W52" s="10" t="n">
        <v>80</v>
      </c>
      <c r="X52" s="10" t="n">
        <v>24</v>
      </c>
      <c r="Y52" s="7" t="s">
        <v>546</v>
      </c>
      <c r="Z52" s="7"/>
      <c r="AA52" s="7"/>
      <c r="AB52" s="7"/>
      <c r="AC52" s="12" t="s">
        <v>469</v>
      </c>
    </row>
    <row r="53" customFormat="false" ht="69.75" hidden="false" customHeight="true" outlineLevel="0" collapsed="false">
      <c r="A53" s="13" t="s">
        <v>561</v>
      </c>
      <c r="B53" s="13" t="s">
        <v>562</v>
      </c>
      <c r="C53" s="7" t="s">
        <v>563</v>
      </c>
      <c r="D53" s="7" t="s">
        <v>564</v>
      </c>
      <c r="E53" s="7" t="s">
        <v>565</v>
      </c>
      <c r="F53" s="8" t="n">
        <v>150000</v>
      </c>
      <c r="G53" s="8" t="n">
        <v>600000</v>
      </c>
      <c r="H53" s="7" t="s">
        <v>105</v>
      </c>
      <c r="I53" s="7" t="s">
        <v>106</v>
      </c>
      <c r="J53" s="7" t="s">
        <v>566</v>
      </c>
      <c r="K53" s="7" t="s">
        <v>567</v>
      </c>
      <c r="L53" s="7" t="s">
        <v>311</v>
      </c>
      <c r="M53" s="7" t="s">
        <v>123</v>
      </c>
      <c r="N53" s="7" t="s">
        <v>568</v>
      </c>
      <c r="O53" s="7" t="s">
        <v>111</v>
      </c>
      <c r="P53" s="7" t="s">
        <v>111</v>
      </c>
      <c r="Q53" s="7" t="s">
        <v>111</v>
      </c>
      <c r="R53" s="7" t="s">
        <v>111</v>
      </c>
      <c r="S53" s="7" t="s">
        <v>569</v>
      </c>
      <c r="T53" s="7" t="s">
        <v>570</v>
      </c>
      <c r="U53" s="7" t="s">
        <v>114</v>
      </c>
      <c r="V53" s="9" t="s">
        <v>571</v>
      </c>
      <c r="W53" s="10" t="n">
        <v>10</v>
      </c>
      <c r="X53" s="10"/>
      <c r="Y53" s="7" t="s">
        <v>572</v>
      </c>
      <c r="Z53" s="7"/>
      <c r="AA53" s="7" t="s">
        <v>573</v>
      </c>
      <c r="AB53" s="7" t="s">
        <v>168</v>
      </c>
      <c r="AC53" s="11" t="s">
        <v>118</v>
      </c>
    </row>
    <row r="54" customFormat="false" ht="69.75" hidden="false" customHeight="true" outlineLevel="0" collapsed="false">
      <c r="A54" s="13" t="s">
        <v>573</v>
      </c>
      <c r="B54" s="13" t="s">
        <v>562</v>
      </c>
      <c r="C54" s="7" t="s">
        <v>574</v>
      </c>
      <c r="D54" s="7" t="s">
        <v>575</v>
      </c>
      <c r="E54" s="7" t="s">
        <v>576</v>
      </c>
      <c r="F54" s="8" t="n">
        <v>100000</v>
      </c>
      <c r="G54" s="8" t="n">
        <v>500000</v>
      </c>
      <c r="H54" s="7" t="s">
        <v>105</v>
      </c>
      <c r="I54" s="7" t="s">
        <v>123</v>
      </c>
      <c r="J54" s="7" t="s">
        <v>577</v>
      </c>
      <c r="K54" s="7" t="s">
        <v>578</v>
      </c>
      <c r="L54" s="7" t="s">
        <v>299</v>
      </c>
      <c r="M54" s="7" t="s">
        <v>105</v>
      </c>
      <c r="N54" s="7" t="s">
        <v>300</v>
      </c>
      <c r="O54" s="7" t="s">
        <v>111</v>
      </c>
      <c r="P54" s="7" t="s">
        <v>111</v>
      </c>
      <c r="Q54" s="7" t="s">
        <v>111</v>
      </c>
      <c r="R54" s="7" t="s">
        <v>111</v>
      </c>
      <c r="S54" s="7" t="s">
        <v>579</v>
      </c>
      <c r="T54" s="7" t="s">
        <v>580</v>
      </c>
      <c r="U54" s="7" t="s">
        <v>114</v>
      </c>
      <c r="V54" s="9" t="s">
        <v>581</v>
      </c>
      <c r="W54" s="10" t="n">
        <v>10</v>
      </c>
      <c r="X54" s="10"/>
      <c r="Y54" s="7" t="s">
        <v>572</v>
      </c>
      <c r="Z54" s="7"/>
      <c r="AA54" s="7" t="s">
        <v>561</v>
      </c>
      <c r="AB54" s="7"/>
      <c r="AC54" s="11" t="s">
        <v>118</v>
      </c>
    </row>
    <row r="55" customFormat="false" ht="69.75" hidden="false" customHeight="true" outlineLevel="0" collapsed="false">
      <c r="A55" s="13" t="s">
        <v>582</v>
      </c>
      <c r="B55" s="13" t="s">
        <v>562</v>
      </c>
      <c r="C55" s="7" t="s">
        <v>583</v>
      </c>
      <c r="D55" s="7" t="s">
        <v>584</v>
      </c>
      <c r="E55" s="7" t="s">
        <v>585</v>
      </c>
      <c r="F55" s="8" t="n">
        <v>20000</v>
      </c>
      <c r="G55" s="8" t="n">
        <v>200000</v>
      </c>
      <c r="H55" s="7" t="s">
        <v>123</v>
      </c>
      <c r="I55" s="7" t="s">
        <v>106</v>
      </c>
      <c r="J55" s="7" t="s">
        <v>586</v>
      </c>
      <c r="K55" s="7" t="s">
        <v>587</v>
      </c>
      <c r="L55" s="7" t="s">
        <v>311</v>
      </c>
      <c r="M55" s="7" t="s">
        <v>106</v>
      </c>
      <c r="N55" s="7" t="s">
        <v>220</v>
      </c>
      <c r="O55" s="7" t="s">
        <v>111</v>
      </c>
      <c r="P55" s="7" t="s">
        <v>111</v>
      </c>
      <c r="Q55" s="7" t="s">
        <v>111</v>
      </c>
      <c r="R55" s="7" t="s">
        <v>111</v>
      </c>
      <c r="S55" s="7" t="s">
        <v>588</v>
      </c>
      <c r="T55" s="7" t="s">
        <v>589</v>
      </c>
      <c r="U55" s="7" t="s">
        <v>114</v>
      </c>
      <c r="V55" s="9" t="s">
        <v>590</v>
      </c>
      <c r="W55" s="10" t="n">
        <v>10</v>
      </c>
      <c r="X55" s="10"/>
      <c r="Y55" s="7" t="s">
        <v>572</v>
      </c>
      <c r="Z55" s="7"/>
      <c r="AA55" s="7"/>
      <c r="AB55" s="7"/>
      <c r="AC55" s="11" t="s">
        <v>118</v>
      </c>
    </row>
    <row r="56" customFormat="false" ht="69.75" hidden="false" customHeight="true" outlineLevel="0" collapsed="false">
      <c r="A56" s="13" t="s">
        <v>591</v>
      </c>
      <c r="B56" s="13" t="s">
        <v>562</v>
      </c>
      <c r="C56" s="7" t="s">
        <v>592</v>
      </c>
      <c r="D56" s="7" t="s">
        <v>593</v>
      </c>
      <c r="E56" s="7" t="s">
        <v>594</v>
      </c>
      <c r="F56" s="8" t="n">
        <v>50000</v>
      </c>
      <c r="G56" s="8" t="n">
        <v>200000</v>
      </c>
      <c r="H56" s="7" t="s">
        <v>123</v>
      </c>
      <c r="I56" s="7" t="s">
        <v>123</v>
      </c>
      <c r="J56" s="7" t="s">
        <v>595</v>
      </c>
      <c r="K56" s="7" t="s">
        <v>596</v>
      </c>
      <c r="L56" s="7" t="s">
        <v>311</v>
      </c>
      <c r="M56" s="7" t="s">
        <v>123</v>
      </c>
      <c r="N56" s="7" t="s">
        <v>220</v>
      </c>
      <c r="O56" s="7" t="s">
        <v>111</v>
      </c>
      <c r="P56" s="7" t="s">
        <v>192</v>
      </c>
      <c r="Q56" s="7" t="s">
        <v>111</v>
      </c>
      <c r="R56" s="7" t="s">
        <v>192</v>
      </c>
      <c r="S56" s="7" t="s">
        <v>597</v>
      </c>
      <c r="T56" s="7" t="s">
        <v>598</v>
      </c>
      <c r="U56" s="7" t="s">
        <v>114</v>
      </c>
      <c r="V56" s="9" t="s">
        <v>599</v>
      </c>
      <c r="W56" s="10" t="n">
        <v>10</v>
      </c>
      <c r="X56" s="10"/>
      <c r="Y56" s="7" t="s">
        <v>572</v>
      </c>
      <c r="Z56" s="7"/>
      <c r="AA56" s="7"/>
      <c r="AB56" s="7"/>
      <c r="AC56" s="11" t="s">
        <v>118</v>
      </c>
    </row>
    <row r="57" customFormat="false" ht="69.75" hidden="false" customHeight="true" outlineLevel="0" collapsed="false">
      <c r="A57" s="13" t="s">
        <v>600</v>
      </c>
      <c r="B57" s="13" t="s">
        <v>562</v>
      </c>
      <c r="C57" s="7" t="s">
        <v>601</v>
      </c>
      <c r="D57" s="7" t="s">
        <v>602</v>
      </c>
      <c r="E57" s="7" t="s">
        <v>603</v>
      </c>
      <c r="F57" s="8" t="n">
        <v>50000</v>
      </c>
      <c r="G57" s="8" t="n">
        <v>250000</v>
      </c>
      <c r="H57" s="7" t="s">
        <v>123</v>
      </c>
      <c r="I57" s="7" t="s">
        <v>123</v>
      </c>
      <c r="J57" s="7" t="s">
        <v>604</v>
      </c>
      <c r="K57" s="7" t="s">
        <v>605</v>
      </c>
      <c r="L57" s="7" t="s">
        <v>311</v>
      </c>
      <c r="M57" s="7" t="s">
        <v>123</v>
      </c>
      <c r="N57" s="7" t="s">
        <v>220</v>
      </c>
      <c r="O57" s="7" t="s">
        <v>192</v>
      </c>
      <c r="P57" s="7" t="s">
        <v>192</v>
      </c>
      <c r="Q57" s="7" t="s">
        <v>111</v>
      </c>
      <c r="R57" s="7" t="s">
        <v>344</v>
      </c>
      <c r="S57" s="7" t="s">
        <v>606</v>
      </c>
      <c r="T57" s="7" t="s">
        <v>607</v>
      </c>
      <c r="U57" s="7" t="s">
        <v>114</v>
      </c>
      <c r="V57" s="9" t="s">
        <v>608</v>
      </c>
      <c r="W57" s="10" t="n">
        <v>10</v>
      </c>
      <c r="X57" s="10"/>
      <c r="Y57" s="7" t="s">
        <v>572</v>
      </c>
      <c r="Z57" s="7"/>
      <c r="AA57" s="7"/>
      <c r="AB57" s="7"/>
      <c r="AC57" s="11" t="s">
        <v>118</v>
      </c>
    </row>
    <row r="58" customFormat="false" ht="69.75" hidden="false" customHeight="true" outlineLevel="0" collapsed="false">
      <c r="A58" s="13" t="s">
        <v>609</v>
      </c>
      <c r="B58" s="13" t="s">
        <v>562</v>
      </c>
      <c r="C58" s="7" t="s">
        <v>610</v>
      </c>
      <c r="D58" s="7" t="s">
        <v>611</v>
      </c>
      <c r="E58" s="7" t="s">
        <v>612</v>
      </c>
      <c r="F58" s="8" t="n">
        <v>50000</v>
      </c>
      <c r="G58" s="8" t="n">
        <v>250000</v>
      </c>
      <c r="H58" s="7" t="s">
        <v>123</v>
      </c>
      <c r="I58" s="7" t="s">
        <v>123</v>
      </c>
      <c r="J58" s="7" t="s">
        <v>613</v>
      </c>
      <c r="K58" s="7" t="s">
        <v>614</v>
      </c>
      <c r="L58" s="7" t="s">
        <v>311</v>
      </c>
      <c r="M58" s="7" t="s">
        <v>123</v>
      </c>
      <c r="N58" s="7" t="s">
        <v>220</v>
      </c>
      <c r="O58" s="7" t="s">
        <v>111</v>
      </c>
      <c r="P58" s="7" t="s">
        <v>111</v>
      </c>
      <c r="Q58" s="7" t="s">
        <v>111</v>
      </c>
      <c r="R58" s="7" t="s">
        <v>111</v>
      </c>
      <c r="S58" s="7" t="s">
        <v>615</v>
      </c>
      <c r="T58" s="7" t="s">
        <v>616</v>
      </c>
      <c r="U58" s="7" t="s">
        <v>114</v>
      </c>
      <c r="V58" s="9" t="s">
        <v>617</v>
      </c>
      <c r="W58" s="10" t="n">
        <v>10</v>
      </c>
      <c r="X58" s="10"/>
      <c r="Y58" s="7" t="s">
        <v>572</v>
      </c>
      <c r="Z58" s="7"/>
      <c r="AA58" s="7"/>
      <c r="AB58" s="7"/>
      <c r="AC58" s="11" t="s">
        <v>118</v>
      </c>
    </row>
    <row r="59" customFormat="false" ht="69.75" hidden="false" customHeight="true" outlineLevel="0" collapsed="false">
      <c r="A59" s="13" t="s">
        <v>618</v>
      </c>
      <c r="B59" s="13" t="s">
        <v>562</v>
      </c>
      <c r="C59" s="7" t="s">
        <v>619</v>
      </c>
      <c r="D59" s="7" t="s">
        <v>620</v>
      </c>
      <c r="E59" s="7" t="s">
        <v>621</v>
      </c>
      <c r="F59" s="8" t="n">
        <v>80000</v>
      </c>
      <c r="G59" s="8" t="n">
        <v>200000</v>
      </c>
      <c r="H59" s="7" t="s">
        <v>123</v>
      </c>
      <c r="I59" s="7" t="s">
        <v>123</v>
      </c>
      <c r="J59" s="7" t="s">
        <v>622</v>
      </c>
      <c r="K59" s="7" t="s">
        <v>623</v>
      </c>
      <c r="L59" s="7" t="s">
        <v>299</v>
      </c>
      <c r="M59" s="7" t="s">
        <v>123</v>
      </c>
      <c r="N59" s="7" t="s">
        <v>220</v>
      </c>
      <c r="O59" s="7" t="s">
        <v>111</v>
      </c>
      <c r="P59" s="7" t="s">
        <v>111</v>
      </c>
      <c r="Q59" s="7" t="s">
        <v>111</v>
      </c>
      <c r="R59" s="7" t="s">
        <v>111</v>
      </c>
      <c r="S59" s="7" t="s">
        <v>624</v>
      </c>
      <c r="T59" s="7" t="s">
        <v>625</v>
      </c>
      <c r="U59" s="7" t="s">
        <v>114</v>
      </c>
      <c r="V59" s="9" t="s">
        <v>626</v>
      </c>
      <c r="W59" s="10" t="n">
        <v>10</v>
      </c>
      <c r="X59" s="10"/>
      <c r="Y59" s="7" t="s">
        <v>572</v>
      </c>
      <c r="Z59" s="7"/>
      <c r="AA59" s="7"/>
      <c r="AB59" s="7"/>
      <c r="AC59" s="11" t="s">
        <v>118</v>
      </c>
    </row>
    <row r="60" customFormat="false" ht="69.75" hidden="false" customHeight="true" outlineLevel="0" collapsed="false">
      <c r="A60" s="13" t="s">
        <v>627</v>
      </c>
      <c r="B60" s="13" t="s">
        <v>562</v>
      </c>
      <c r="C60" s="7" t="s">
        <v>628</v>
      </c>
      <c r="D60" s="7" t="s">
        <v>629</v>
      </c>
      <c r="E60" s="7" t="s">
        <v>630</v>
      </c>
      <c r="F60" s="8" t="n">
        <v>30000</v>
      </c>
      <c r="G60" s="8" t="n">
        <v>200000</v>
      </c>
      <c r="H60" s="7" t="s">
        <v>123</v>
      </c>
      <c r="I60" s="7" t="s">
        <v>123</v>
      </c>
      <c r="J60" s="7" t="s">
        <v>631</v>
      </c>
      <c r="K60" s="7" t="s">
        <v>632</v>
      </c>
      <c r="L60" s="7" t="s">
        <v>311</v>
      </c>
      <c r="M60" s="7" t="s">
        <v>123</v>
      </c>
      <c r="N60" s="7" t="s">
        <v>220</v>
      </c>
      <c r="O60" s="7" t="s">
        <v>111</v>
      </c>
      <c r="P60" s="7" t="s">
        <v>111</v>
      </c>
      <c r="Q60" s="7" t="s">
        <v>111</v>
      </c>
      <c r="R60" s="7" t="s">
        <v>111</v>
      </c>
      <c r="S60" s="7" t="s">
        <v>633</v>
      </c>
      <c r="T60" s="7" t="s">
        <v>634</v>
      </c>
      <c r="U60" s="7" t="s">
        <v>114</v>
      </c>
      <c r="V60" s="9" t="s">
        <v>635</v>
      </c>
      <c r="W60" s="10" t="n">
        <v>10</v>
      </c>
      <c r="X60" s="10"/>
      <c r="Y60" s="7" t="s">
        <v>572</v>
      </c>
      <c r="Z60" s="7"/>
      <c r="AA60" s="7"/>
      <c r="AB60" s="7"/>
      <c r="AC60" s="11" t="s">
        <v>118</v>
      </c>
    </row>
    <row r="61" customFormat="false" ht="69.75" hidden="false" customHeight="true" outlineLevel="0" collapsed="false">
      <c r="A61" s="13" t="s">
        <v>636</v>
      </c>
      <c r="B61" s="13" t="s">
        <v>562</v>
      </c>
      <c r="C61" s="7" t="s">
        <v>637</v>
      </c>
      <c r="D61" s="7" t="s">
        <v>638</v>
      </c>
      <c r="E61" s="7" t="s">
        <v>639</v>
      </c>
      <c r="F61" s="8" t="n">
        <v>20000</v>
      </c>
      <c r="G61" s="8" t="n">
        <v>100000</v>
      </c>
      <c r="H61" s="7" t="s">
        <v>123</v>
      </c>
      <c r="I61" s="7" t="s">
        <v>123</v>
      </c>
      <c r="J61" s="7" t="s">
        <v>640</v>
      </c>
      <c r="K61" s="7" t="s">
        <v>641</v>
      </c>
      <c r="L61" s="7" t="s">
        <v>311</v>
      </c>
      <c r="M61" s="7" t="s">
        <v>123</v>
      </c>
      <c r="N61" s="7" t="s">
        <v>220</v>
      </c>
      <c r="O61" s="7" t="s">
        <v>111</v>
      </c>
      <c r="P61" s="7" t="s">
        <v>111</v>
      </c>
      <c r="Q61" s="7" t="s">
        <v>192</v>
      </c>
      <c r="R61" s="7" t="s">
        <v>192</v>
      </c>
      <c r="S61" s="7" t="s">
        <v>642</v>
      </c>
      <c r="T61" s="7" t="s">
        <v>643</v>
      </c>
      <c r="U61" s="7" t="s">
        <v>114</v>
      </c>
      <c r="V61" s="9" t="s">
        <v>644</v>
      </c>
      <c r="W61" s="10" t="n">
        <v>10</v>
      </c>
      <c r="X61" s="10"/>
      <c r="Y61" s="7" t="s">
        <v>572</v>
      </c>
      <c r="Z61" s="7"/>
      <c r="AA61" s="7"/>
      <c r="AB61" s="7"/>
      <c r="AC61" s="11" t="s">
        <v>118</v>
      </c>
    </row>
    <row r="62" customFormat="false" ht="69.75" hidden="false" customHeight="true" outlineLevel="0" collapsed="false">
      <c r="A62" s="14" t="s">
        <v>645</v>
      </c>
      <c r="B62" s="14" t="s">
        <v>646</v>
      </c>
      <c r="C62" s="7" t="s">
        <v>647</v>
      </c>
      <c r="D62" s="7" t="s">
        <v>648</v>
      </c>
      <c r="E62" s="7" t="s">
        <v>649</v>
      </c>
      <c r="F62" s="8" t="n">
        <v>150000</v>
      </c>
      <c r="G62" s="8" t="n">
        <v>600000</v>
      </c>
      <c r="H62" s="7" t="s">
        <v>105</v>
      </c>
      <c r="I62" s="7" t="s">
        <v>123</v>
      </c>
      <c r="J62" s="7" t="s">
        <v>650</v>
      </c>
      <c r="K62" s="7" t="s">
        <v>651</v>
      </c>
      <c r="L62" s="7" t="s">
        <v>299</v>
      </c>
      <c r="M62" s="7" t="s">
        <v>105</v>
      </c>
      <c r="N62" s="7" t="s">
        <v>568</v>
      </c>
      <c r="O62" s="7" t="s">
        <v>111</v>
      </c>
      <c r="P62" s="7" t="s">
        <v>192</v>
      </c>
      <c r="Q62" s="7" t="s">
        <v>111</v>
      </c>
      <c r="R62" s="7" t="s">
        <v>192</v>
      </c>
      <c r="S62" s="7" t="s">
        <v>652</v>
      </c>
      <c r="T62" s="7" t="s">
        <v>653</v>
      </c>
      <c r="U62" s="7" t="s">
        <v>114</v>
      </c>
      <c r="V62" s="9" t="s">
        <v>459</v>
      </c>
      <c r="W62" s="10" t="n">
        <v>180</v>
      </c>
      <c r="X62" s="10" t="n">
        <v>60</v>
      </c>
      <c r="Y62" s="7" t="s">
        <v>654</v>
      </c>
      <c r="Z62" s="7"/>
      <c r="AA62" s="7"/>
      <c r="AB62" s="7" t="s">
        <v>168</v>
      </c>
      <c r="AC62" s="7" t="s">
        <v>156</v>
      </c>
    </row>
    <row r="63" customFormat="false" ht="69.75" hidden="false" customHeight="true" outlineLevel="0" collapsed="false">
      <c r="A63" s="14" t="s">
        <v>655</v>
      </c>
      <c r="B63" s="14" t="s">
        <v>646</v>
      </c>
      <c r="C63" s="7" t="s">
        <v>656</v>
      </c>
      <c r="D63" s="7" t="s">
        <v>657</v>
      </c>
      <c r="E63" s="7" t="s">
        <v>658</v>
      </c>
      <c r="F63" s="8" t="n">
        <v>50000</v>
      </c>
      <c r="G63" s="8" t="n">
        <v>200000</v>
      </c>
      <c r="H63" s="7" t="s">
        <v>123</v>
      </c>
      <c r="I63" s="7" t="s">
        <v>106</v>
      </c>
      <c r="J63" s="7" t="s">
        <v>659</v>
      </c>
      <c r="K63" s="7" t="s">
        <v>660</v>
      </c>
      <c r="L63" s="7" t="s">
        <v>311</v>
      </c>
      <c r="M63" s="7" t="s">
        <v>123</v>
      </c>
      <c r="N63" s="7" t="s">
        <v>220</v>
      </c>
      <c r="O63" s="7" t="s">
        <v>111</v>
      </c>
      <c r="P63" s="7" t="s">
        <v>192</v>
      </c>
      <c r="Q63" s="7" t="s">
        <v>111</v>
      </c>
      <c r="R63" s="7" t="s">
        <v>344</v>
      </c>
      <c r="S63" s="7" t="s">
        <v>661</v>
      </c>
      <c r="T63" s="7" t="s">
        <v>662</v>
      </c>
      <c r="U63" s="7" t="s">
        <v>114</v>
      </c>
      <c r="V63" s="9" t="s">
        <v>663</v>
      </c>
      <c r="W63" s="10" t="n">
        <v>120</v>
      </c>
      <c r="X63" s="10" t="n">
        <v>12</v>
      </c>
      <c r="Y63" s="7" t="s">
        <v>664</v>
      </c>
      <c r="Z63" s="7"/>
      <c r="AA63" s="7"/>
      <c r="AB63" s="7"/>
      <c r="AC63" s="7" t="s">
        <v>156</v>
      </c>
    </row>
    <row r="64" customFormat="false" ht="69.75" hidden="false" customHeight="true" outlineLevel="0" collapsed="false">
      <c r="A64" s="14" t="s">
        <v>665</v>
      </c>
      <c r="B64" s="14" t="s">
        <v>646</v>
      </c>
      <c r="C64" s="7" t="s">
        <v>666</v>
      </c>
      <c r="D64" s="7" t="s">
        <v>667</v>
      </c>
      <c r="E64" s="7" t="s">
        <v>668</v>
      </c>
      <c r="F64" s="8" t="n">
        <v>80000</v>
      </c>
      <c r="G64" s="8" t="n">
        <v>400000</v>
      </c>
      <c r="H64" s="7" t="s">
        <v>105</v>
      </c>
      <c r="I64" s="7" t="s">
        <v>123</v>
      </c>
      <c r="J64" s="7" t="s">
        <v>669</v>
      </c>
      <c r="K64" s="7" t="s">
        <v>670</v>
      </c>
      <c r="L64" s="7" t="s">
        <v>311</v>
      </c>
      <c r="M64" s="7" t="s">
        <v>123</v>
      </c>
      <c r="N64" s="7" t="s">
        <v>220</v>
      </c>
      <c r="O64" s="7" t="s">
        <v>111</v>
      </c>
      <c r="P64" s="7" t="s">
        <v>192</v>
      </c>
      <c r="Q64" s="7" t="s">
        <v>111</v>
      </c>
      <c r="R64" s="7" t="s">
        <v>192</v>
      </c>
      <c r="S64" s="7" t="s">
        <v>671</v>
      </c>
      <c r="T64" s="7" t="s">
        <v>672</v>
      </c>
      <c r="U64" s="7" t="s">
        <v>114</v>
      </c>
      <c r="V64" s="9" t="s">
        <v>673</v>
      </c>
      <c r="W64" s="10" t="n">
        <v>120</v>
      </c>
      <c r="X64" s="10" t="n">
        <v>12</v>
      </c>
      <c r="Y64" s="7" t="s">
        <v>664</v>
      </c>
      <c r="Z64" s="7"/>
      <c r="AA64" s="7"/>
      <c r="AB64" s="7"/>
      <c r="AC64" s="7" t="s">
        <v>156</v>
      </c>
    </row>
    <row r="65" customFormat="false" ht="69.75" hidden="false" customHeight="true" outlineLevel="0" collapsed="false">
      <c r="A65" s="14" t="s">
        <v>674</v>
      </c>
      <c r="B65" s="14" t="s">
        <v>646</v>
      </c>
      <c r="C65" s="7" t="s">
        <v>675</v>
      </c>
      <c r="D65" s="7" t="s">
        <v>676</v>
      </c>
      <c r="E65" s="7" t="s">
        <v>677</v>
      </c>
      <c r="F65" s="8" t="n">
        <v>150000</v>
      </c>
      <c r="G65" s="8" t="n">
        <v>500000</v>
      </c>
      <c r="H65" s="7" t="s">
        <v>105</v>
      </c>
      <c r="I65" s="7" t="s">
        <v>123</v>
      </c>
      <c r="J65" s="7" t="s">
        <v>678</v>
      </c>
      <c r="K65" s="7" t="s">
        <v>679</v>
      </c>
      <c r="L65" s="7" t="s">
        <v>299</v>
      </c>
      <c r="M65" s="7" t="s">
        <v>105</v>
      </c>
      <c r="N65" s="7" t="s">
        <v>300</v>
      </c>
      <c r="O65" s="7" t="s">
        <v>111</v>
      </c>
      <c r="P65" s="7" t="s">
        <v>192</v>
      </c>
      <c r="Q65" s="7" t="s">
        <v>111</v>
      </c>
      <c r="R65" s="7" t="s">
        <v>111</v>
      </c>
      <c r="S65" s="7" t="s">
        <v>680</v>
      </c>
      <c r="T65" s="7" t="s">
        <v>681</v>
      </c>
      <c r="U65" s="7" t="s">
        <v>114</v>
      </c>
      <c r="V65" s="9" t="s">
        <v>682</v>
      </c>
      <c r="W65" s="10" t="n">
        <v>120</v>
      </c>
      <c r="X65" s="10" t="n">
        <v>12</v>
      </c>
      <c r="Y65" s="7" t="s">
        <v>664</v>
      </c>
      <c r="Z65" s="7"/>
      <c r="AA65" s="7"/>
      <c r="AB65" s="7" t="s">
        <v>168</v>
      </c>
      <c r="AC65" s="7" t="s">
        <v>156</v>
      </c>
    </row>
    <row r="66" customFormat="false" ht="69.75" hidden="false" customHeight="true" outlineLevel="0" collapsed="false">
      <c r="A66" s="14" t="s">
        <v>683</v>
      </c>
      <c r="B66" s="14" t="s">
        <v>646</v>
      </c>
      <c r="C66" s="7" t="s">
        <v>684</v>
      </c>
      <c r="D66" s="7" t="s">
        <v>685</v>
      </c>
      <c r="E66" s="7" t="s">
        <v>686</v>
      </c>
      <c r="F66" s="8" t="n">
        <v>80000</v>
      </c>
      <c r="G66" s="8" t="n">
        <v>250000</v>
      </c>
      <c r="H66" s="7" t="s">
        <v>123</v>
      </c>
      <c r="I66" s="7" t="s">
        <v>106</v>
      </c>
      <c r="J66" s="7" t="s">
        <v>687</v>
      </c>
      <c r="K66" s="7" t="s">
        <v>688</v>
      </c>
      <c r="L66" s="7" t="s">
        <v>311</v>
      </c>
      <c r="M66" s="7" t="s">
        <v>123</v>
      </c>
      <c r="N66" s="7" t="s">
        <v>220</v>
      </c>
      <c r="O66" s="7" t="s">
        <v>111</v>
      </c>
      <c r="P66" s="7" t="s">
        <v>344</v>
      </c>
      <c r="Q66" s="7" t="s">
        <v>111</v>
      </c>
      <c r="R66" s="7" t="s">
        <v>192</v>
      </c>
      <c r="S66" s="7" t="s">
        <v>689</v>
      </c>
      <c r="T66" s="7" t="s">
        <v>690</v>
      </c>
      <c r="U66" s="7" t="s">
        <v>114</v>
      </c>
      <c r="V66" s="9" t="s">
        <v>691</v>
      </c>
      <c r="W66" s="10" t="n">
        <v>120</v>
      </c>
      <c r="X66" s="10" t="n">
        <v>12</v>
      </c>
      <c r="Y66" s="7" t="s">
        <v>664</v>
      </c>
      <c r="Z66" s="7"/>
      <c r="AA66" s="7"/>
      <c r="AB66" s="7"/>
      <c r="AC66" s="7" t="s">
        <v>156</v>
      </c>
    </row>
    <row r="67" customFormat="false" ht="69.75" hidden="false" customHeight="true" outlineLevel="0" collapsed="false">
      <c r="A67" s="14" t="s">
        <v>692</v>
      </c>
      <c r="B67" s="14" t="s">
        <v>646</v>
      </c>
      <c r="C67" s="7" t="s">
        <v>693</v>
      </c>
      <c r="D67" s="7" t="s">
        <v>694</v>
      </c>
      <c r="E67" s="7" t="s">
        <v>695</v>
      </c>
      <c r="F67" s="8" t="n">
        <v>200000</v>
      </c>
      <c r="G67" s="8" t="n">
        <v>800000</v>
      </c>
      <c r="H67" s="7" t="s">
        <v>105</v>
      </c>
      <c r="I67" s="7" t="s">
        <v>105</v>
      </c>
      <c r="J67" s="7" t="s">
        <v>696</v>
      </c>
      <c r="K67" s="7" t="s">
        <v>697</v>
      </c>
      <c r="L67" s="7" t="s">
        <v>299</v>
      </c>
      <c r="M67" s="7" t="s">
        <v>105</v>
      </c>
      <c r="N67" s="7" t="s">
        <v>300</v>
      </c>
      <c r="O67" s="7" t="s">
        <v>111</v>
      </c>
      <c r="P67" s="7" t="s">
        <v>111</v>
      </c>
      <c r="Q67" s="7" t="s">
        <v>111</v>
      </c>
      <c r="R67" s="7" t="s">
        <v>111</v>
      </c>
      <c r="S67" s="7" t="s">
        <v>698</v>
      </c>
      <c r="T67" s="7" t="s">
        <v>699</v>
      </c>
      <c r="U67" s="7" t="s">
        <v>114</v>
      </c>
      <c r="V67" s="9" t="s">
        <v>700</v>
      </c>
      <c r="W67" s="10" t="n">
        <v>150</v>
      </c>
      <c r="X67" s="10" t="n">
        <v>60</v>
      </c>
      <c r="Y67" s="7" t="s">
        <v>701</v>
      </c>
      <c r="Z67" s="7"/>
      <c r="AA67" s="7"/>
      <c r="AB67" s="7" t="s">
        <v>168</v>
      </c>
      <c r="AC67" s="7" t="s">
        <v>156</v>
      </c>
    </row>
    <row r="68" customFormat="false" ht="69.75" hidden="false" customHeight="true" outlineLevel="0" collapsed="false">
      <c r="A68" s="14" t="s">
        <v>702</v>
      </c>
      <c r="B68" s="14" t="s">
        <v>646</v>
      </c>
      <c r="C68" s="7" t="s">
        <v>703</v>
      </c>
      <c r="D68" s="7" t="s">
        <v>704</v>
      </c>
      <c r="E68" s="7" t="s">
        <v>705</v>
      </c>
      <c r="F68" s="8" t="n">
        <v>400000</v>
      </c>
      <c r="G68" s="8" t="n">
        <v>1500000</v>
      </c>
      <c r="H68" s="7" t="s">
        <v>361</v>
      </c>
      <c r="I68" s="7" t="s">
        <v>105</v>
      </c>
      <c r="J68" s="7" t="s">
        <v>706</v>
      </c>
      <c r="K68" s="7" t="s">
        <v>707</v>
      </c>
      <c r="L68" s="7" t="s">
        <v>299</v>
      </c>
      <c r="M68" s="7" t="s">
        <v>105</v>
      </c>
      <c r="N68" s="7" t="s">
        <v>568</v>
      </c>
      <c r="O68" s="7" t="s">
        <v>111</v>
      </c>
      <c r="P68" s="7" t="s">
        <v>192</v>
      </c>
      <c r="Q68" s="7" t="s">
        <v>111</v>
      </c>
      <c r="R68" s="7" t="s">
        <v>192</v>
      </c>
      <c r="S68" s="7" t="s">
        <v>708</v>
      </c>
      <c r="T68" s="7" t="s">
        <v>709</v>
      </c>
      <c r="U68" s="7" t="s">
        <v>114</v>
      </c>
      <c r="V68" s="9" t="s">
        <v>710</v>
      </c>
      <c r="W68" s="10" t="n">
        <v>400</v>
      </c>
      <c r="X68" s="10" t="n">
        <v>150</v>
      </c>
      <c r="Y68" s="7" t="s">
        <v>711</v>
      </c>
      <c r="Z68" s="7"/>
      <c r="AA68" s="7"/>
      <c r="AB68" s="7"/>
      <c r="AC68" s="7" t="s">
        <v>156</v>
      </c>
    </row>
    <row r="69" customFormat="false" ht="69.75" hidden="false" customHeight="true" outlineLevel="0" collapsed="false">
      <c r="A69" s="14" t="s">
        <v>712</v>
      </c>
      <c r="B69" s="14" t="s">
        <v>646</v>
      </c>
      <c r="C69" s="7" t="s">
        <v>713</v>
      </c>
      <c r="D69" s="7" t="s">
        <v>714</v>
      </c>
      <c r="E69" s="7" t="s">
        <v>715</v>
      </c>
      <c r="F69" s="8" t="n">
        <v>50000</v>
      </c>
      <c r="G69" s="8" t="n">
        <v>250000</v>
      </c>
      <c r="H69" s="7" t="s">
        <v>123</v>
      </c>
      <c r="I69" s="7" t="s">
        <v>106</v>
      </c>
      <c r="J69" s="7" t="s">
        <v>716</v>
      </c>
      <c r="K69" s="7" t="s">
        <v>717</v>
      </c>
      <c r="L69" s="7" t="s">
        <v>311</v>
      </c>
      <c r="M69" s="7" t="s">
        <v>106</v>
      </c>
      <c r="N69" s="7" t="s">
        <v>220</v>
      </c>
      <c r="O69" s="7" t="s">
        <v>111</v>
      </c>
      <c r="P69" s="7" t="s">
        <v>111</v>
      </c>
      <c r="Q69" s="7" t="s">
        <v>111</v>
      </c>
      <c r="R69" s="7" t="s">
        <v>111</v>
      </c>
      <c r="S69" s="7" t="s">
        <v>718</v>
      </c>
      <c r="T69" s="7" t="s">
        <v>719</v>
      </c>
      <c r="U69" s="7" t="s">
        <v>114</v>
      </c>
      <c r="V69" s="9" t="s">
        <v>720</v>
      </c>
      <c r="W69" s="10" t="n">
        <v>120</v>
      </c>
      <c r="X69" s="10" t="n">
        <v>12</v>
      </c>
      <c r="Y69" s="7" t="s">
        <v>664</v>
      </c>
      <c r="Z69" s="7"/>
      <c r="AA69" s="7"/>
      <c r="AB69" s="7"/>
      <c r="AC69" s="7" t="s">
        <v>156</v>
      </c>
    </row>
    <row r="70" customFormat="false" ht="69.75" hidden="false" customHeight="true" outlineLevel="0" collapsed="false">
      <c r="A70" s="14" t="s">
        <v>721</v>
      </c>
      <c r="B70" s="14" t="s">
        <v>646</v>
      </c>
      <c r="C70" s="7" t="s">
        <v>722</v>
      </c>
      <c r="D70" s="7" t="s">
        <v>723</v>
      </c>
      <c r="E70" s="7" t="s">
        <v>724</v>
      </c>
      <c r="F70" s="8" t="n">
        <v>30000</v>
      </c>
      <c r="G70" s="8" t="n">
        <v>200000</v>
      </c>
      <c r="H70" s="7" t="s">
        <v>123</v>
      </c>
      <c r="I70" s="7" t="s">
        <v>123</v>
      </c>
      <c r="J70" s="7" t="s">
        <v>725</v>
      </c>
      <c r="K70" s="7" t="s">
        <v>726</v>
      </c>
      <c r="L70" s="7" t="s">
        <v>311</v>
      </c>
      <c r="M70" s="7" t="s">
        <v>106</v>
      </c>
      <c r="N70" s="7" t="s">
        <v>220</v>
      </c>
      <c r="O70" s="7" t="s">
        <v>111</v>
      </c>
      <c r="P70" s="7" t="s">
        <v>192</v>
      </c>
      <c r="Q70" s="7" t="s">
        <v>111</v>
      </c>
      <c r="R70" s="7" t="s">
        <v>192</v>
      </c>
      <c r="S70" s="7" t="s">
        <v>727</v>
      </c>
      <c r="T70" s="7" t="s">
        <v>728</v>
      </c>
      <c r="U70" s="7" t="s">
        <v>114</v>
      </c>
      <c r="V70" s="9" t="s">
        <v>729</v>
      </c>
      <c r="W70" s="10" t="n">
        <v>120</v>
      </c>
      <c r="X70" s="10" t="n">
        <v>12</v>
      </c>
      <c r="Y70" s="7" t="s">
        <v>664</v>
      </c>
      <c r="Z70" s="7"/>
      <c r="AA70" s="7"/>
      <c r="AB70" s="7"/>
      <c r="AC70" s="7" t="s">
        <v>156</v>
      </c>
    </row>
    <row r="71" customFormat="false" ht="69.75" hidden="false" customHeight="true" outlineLevel="0" collapsed="false">
      <c r="A71" s="14" t="s">
        <v>730</v>
      </c>
      <c r="B71" s="14" t="s">
        <v>646</v>
      </c>
      <c r="C71" s="7" t="s">
        <v>731</v>
      </c>
      <c r="D71" s="7" t="s">
        <v>732</v>
      </c>
      <c r="E71" s="7" t="s">
        <v>733</v>
      </c>
      <c r="F71" s="8" t="n">
        <v>30000</v>
      </c>
      <c r="G71" s="8" t="n">
        <v>150000</v>
      </c>
      <c r="H71" s="7" t="s">
        <v>123</v>
      </c>
      <c r="I71" s="7" t="s">
        <v>106</v>
      </c>
      <c r="J71" s="7" t="s">
        <v>734</v>
      </c>
      <c r="K71" s="7" t="s">
        <v>735</v>
      </c>
      <c r="L71" s="7" t="s">
        <v>311</v>
      </c>
      <c r="M71" s="7" t="s">
        <v>123</v>
      </c>
      <c r="N71" s="7" t="s">
        <v>220</v>
      </c>
      <c r="O71" s="7" t="s">
        <v>111</v>
      </c>
      <c r="P71" s="7" t="s">
        <v>111</v>
      </c>
      <c r="Q71" s="7" t="s">
        <v>111</v>
      </c>
      <c r="R71" s="7" t="s">
        <v>111</v>
      </c>
      <c r="S71" s="7" t="s">
        <v>736</v>
      </c>
      <c r="T71" s="7" t="s">
        <v>737</v>
      </c>
      <c r="U71" s="7" t="s">
        <v>114</v>
      </c>
      <c r="V71" s="9" t="s">
        <v>738</v>
      </c>
      <c r="W71" s="10" t="n">
        <v>120</v>
      </c>
      <c r="X71" s="10" t="n">
        <v>12</v>
      </c>
      <c r="Y71" s="7" t="s">
        <v>664</v>
      </c>
      <c r="Z71" s="7"/>
      <c r="AA71" s="7"/>
      <c r="AB71" s="7"/>
      <c r="AC71" s="7" t="s">
        <v>156</v>
      </c>
    </row>
    <row r="72" customFormat="false" ht="69.75" hidden="false" customHeight="true" outlineLevel="0" collapsed="false">
      <c r="A72" s="15" t="s">
        <v>739</v>
      </c>
      <c r="B72" s="15" t="s">
        <v>740</v>
      </c>
      <c r="C72" s="7" t="s">
        <v>741</v>
      </c>
      <c r="D72" s="7" t="s">
        <v>742</v>
      </c>
      <c r="E72" s="7" t="s">
        <v>743</v>
      </c>
      <c r="F72" s="8" t="n">
        <v>100000</v>
      </c>
      <c r="G72" s="8" t="n">
        <v>400000</v>
      </c>
      <c r="H72" s="7" t="s">
        <v>105</v>
      </c>
      <c r="I72" s="7" t="s">
        <v>106</v>
      </c>
      <c r="J72" s="7" t="s">
        <v>744</v>
      </c>
      <c r="K72" s="7" t="s">
        <v>745</v>
      </c>
      <c r="L72" s="7" t="s">
        <v>299</v>
      </c>
      <c r="M72" s="7" t="s">
        <v>105</v>
      </c>
      <c r="N72" s="7" t="s">
        <v>746</v>
      </c>
      <c r="O72" s="7" t="s">
        <v>111</v>
      </c>
      <c r="P72" s="7" t="s">
        <v>111</v>
      </c>
      <c r="Q72" s="7" t="s">
        <v>111</v>
      </c>
      <c r="R72" s="7" t="s">
        <v>111</v>
      </c>
      <c r="S72" s="7" t="s">
        <v>747</v>
      </c>
      <c r="T72" s="7" t="s">
        <v>748</v>
      </c>
      <c r="U72" s="7" t="s">
        <v>114</v>
      </c>
      <c r="V72" s="9" t="s">
        <v>749</v>
      </c>
      <c r="W72" s="10" t="n">
        <v>60</v>
      </c>
      <c r="X72" s="10" t="n">
        <v>30</v>
      </c>
      <c r="Y72" s="7" t="s">
        <v>750</v>
      </c>
      <c r="Z72" s="7"/>
      <c r="AA72" s="7"/>
      <c r="AB72" s="7"/>
      <c r="AC72" s="12" t="s">
        <v>469</v>
      </c>
    </row>
    <row r="73" customFormat="false" ht="69.75" hidden="false" customHeight="true" outlineLevel="0" collapsed="false">
      <c r="A73" s="15" t="s">
        <v>751</v>
      </c>
      <c r="B73" s="15" t="s">
        <v>740</v>
      </c>
      <c r="C73" s="7" t="s">
        <v>752</v>
      </c>
      <c r="D73" s="7" t="s">
        <v>753</v>
      </c>
      <c r="E73" s="7" t="s">
        <v>754</v>
      </c>
      <c r="F73" s="8" t="n">
        <v>150000</v>
      </c>
      <c r="G73" s="8" t="n">
        <v>500000</v>
      </c>
      <c r="H73" s="7" t="s">
        <v>105</v>
      </c>
      <c r="I73" s="7" t="s">
        <v>123</v>
      </c>
      <c r="J73" s="7" t="s">
        <v>755</v>
      </c>
      <c r="K73" s="7" t="s">
        <v>756</v>
      </c>
      <c r="L73" s="7" t="s">
        <v>299</v>
      </c>
      <c r="M73" s="7" t="s">
        <v>105</v>
      </c>
      <c r="N73" s="7" t="s">
        <v>300</v>
      </c>
      <c r="O73" s="7" t="s">
        <v>111</v>
      </c>
      <c r="P73" s="7" t="s">
        <v>111</v>
      </c>
      <c r="Q73" s="7" t="s">
        <v>111</v>
      </c>
      <c r="R73" s="7" t="s">
        <v>192</v>
      </c>
      <c r="S73" s="7" t="s">
        <v>757</v>
      </c>
      <c r="T73" s="7" t="s">
        <v>758</v>
      </c>
      <c r="U73" s="7" t="s">
        <v>114</v>
      </c>
      <c r="V73" s="9" t="s">
        <v>759</v>
      </c>
      <c r="W73" s="10" t="n">
        <v>60</v>
      </c>
      <c r="X73" s="10" t="n">
        <v>30</v>
      </c>
      <c r="Y73" s="7" t="s">
        <v>750</v>
      </c>
      <c r="Z73" s="7"/>
      <c r="AA73" s="7"/>
      <c r="AB73" s="7"/>
      <c r="AC73" s="12" t="s">
        <v>469</v>
      </c>
    </row>
    <row r="74" customFormat="false" ht="69.75" hidden="false" customHeight="true" outlineLevel="0" collapsed="false">
      <c r="A74" s="15" t="s">
        <v>760</v>
      </c>
      <c r="B74" s="15" t="s">
        <v>740</v>
      </c>
      <c r="C74" s="7" t="s">
        <v>761</v>
      </c>
      <c r="D74" s="7" t="s">
        <v>762</v>
      </c>
      <c r="E74" s="7" t="s">
        <v>763</v>
      </c>
      <c r="F74" s="8" t="n">
        <v>30000</v>
      </c>
      <c r="G74" s="8" t="n">
        <v>200000</v>
      </c>
      <c r="H74" s="7" t="s">
        <v>123</v>
      </c>
      <c r="I74" s="7" t="s">
        <v>123</v>
      </c>
      <c r="J74" s="7" t="s">
        <v>764</v>
      </c>
      <c r="K74" s="7" t="s">
        <v>765</v>
      </c>
      <c r="L74" s="7" t="s">
        <v>311</v>
      </c>
      <c r="M74" s="7" t="s">
        <v>106</v>
      </c>
      <c r="N74" s="7" t="s">
        <v>220</v>
      </c>
      <c r="O74" s="7" t="s">
        <v>111</v>
      </c>
      <c r="P74" s="7" t="s">
        <v>111</v>
      </c>
      <c r="Q74" s="7" t="s">
        <v>111</v>
      </c>
      <c r="R74" s="7" t="s">
        <v>111</v>
      </c>
      <c r="S74" s="7" t="s">
        <v>766</v>
      </c>
      <c r="T74" s="7" t="s">
        <v>767</v>
      </c>
      <c r="U74" s="7" t="s">
        <v>114</v>
      </c>
      <c r="V74" s="9" t="s">
        <v>768</v>
      </c>
      <c r="W74" s="10" t="n">
        <v>60</v>
      </c>
      <c r="X74" s="10" t="n">
        <v>30</v>
      </c>
      <c r="Y74" s="7" t="s">
        <v>750</v>
      </c>
      <c r="Z74" s="7"/>
      <c r="AA74" s="7"/>
      <c r="AB74" s="7"/>
      <c r="AC74" s="12" t="s">
        <v>469</v>
      </c>
    </row>
    <row r="75" customFormat="false" ht="69.75" hidden="false" customHeight="true" outlineLevel="0" collapsed="false">
      <c r="A75" s="15" t="s">
        <v>769</v>
      </c>
      <c r="B75" s="15" t="s">
        <v>740</v>
      </c>
      <c r="C75" s="7" t="s">
        <v>770</v>
      </c>
      <c r="D75" s="7" t="s">
        <v>771</v>
      </c>
      <c r="E75" s="7" t="s">
        <v>772</v>
      </c>
      <c r="F75" s="8" t="n">
        <v>100000</v>
      </c>
      <c r="G75" s="8" t="n">
        <v>400000</v>
      </c>
      <c r="H75" s="7" t="s">
        <v>105</v>
      </c>
      <c r="I75" s="7" t="s">
        <v>123</v>
      </c>
      <c r="J75" s="7" t="s">
        <v>773</v>
      </c>
      <c r="K75" s="7" t="s">
        <v>774</v>
      </c>
      <c r="L75" s="7" t="s">
        <v>299</v>
      </c>
      <c r="M75" s="7" t="s">
        <v>105</v>
      </c>
      <c r="N75" s="7" t="s">
        <v>300</v>
      </c>
      <c r="O75" s="7" t="s">
        <v>111</v>
      </c>
      <c r="P75" s="7" t="s">
        <v>111</v>
      </c>
      <c r="Q75" s="7" t="s">
        <v>111</v>
      </c>
      <c r="R75" s="7" t="s">
        <v>192</v>
      </c>
      <c r="S75" s="7" t="s">
        <v>775</v>
      </c>
      <c r="T75" s="7" t="s">
        <v>776</v>
      </c>
      <c r="U75" s="7" t="s">
        <v>114</v>
      </c>
      <c r="V75" s="9" t="s">
        <v>777</v>
      </c>
      <c r="W75" s="10" t="n">
        <v>60</v>
      </c>
      <c r="X75" s="10" t="n">
        <v>30</v>
      </c>
      <c r="Y75" s="7" t="s">
        <v>750</v>
      </c>
      <c r="Z75" s="7"/>
      <c r="AA75" s="7"/>
      <c r="AB75" s="7"/>
      <c r="AC75" s="12" t="s">
        <v>469</v>
      </c>
    </row>
    <row r="76" customFormat="false" ht="69.75" hidden="false" customHeight="true" outlineLevel="0" collapsed="false">
      <c r="A76" s="15" t="s">
        <v>778</v>
      </c>
      <c r="B76" s="15" t="s">
        <v>740</v>
      </c>
      <c r="C76" s="7" t="s">
        <v>779</v>
      </c>
      <c r="D76" s="7" t="s">
        <v>780</v>
      </c>
      <c r="E76" s="7" t="s">
        <v>781</v>
      </c>
      <c r="F76" s="8" t="n">
        <v>50000</v>
      </c>
      <c r="G76" s="8" t="n">
        <v>300000</v>
      </c>
      <c r="H76" s="7" t="s">
        <v>105</v>
      </c>
      <c r="I76" s="7" t="s">
        <v>123</v>
      </c>
      <c r="J76" s="7" t="s">
        <v>782</v>
      </c>
      <c r="K76" s="7" t="s">
        <v>783</v>
      </c>
      <c r="L76" s="7" t="s">
        <v>299</v>
      </c>
      <c r="M76" s="7" t="s">
        <v>123</v>
      </c>
      <c r="N76" s="7" t="s">
        <v>300</v>
      </c>
      <c r="O76" s="7" t="s">
        <v>111</v>
      </c>
      <c r="P76" s="7" t="s">
        <v>111</v>
      </c>
      <c r="Q76" s="7" t="s">
        <v>111</v>
      </c>
      <c r="R76" s="7" t="s">
        <v>111</v>
      </c>
      <c r="S76" s="7" t="s">
        <v>784</v>
      </c>
      <c r="T76" s="7" t="s">
        <v>785</v>
      </c>
      <c r="U76" s="7" t="s">
        <v>114</v>
      </c>
      <c r="V76" s="9" t="s">
        <v>749</v>
      </c>
      <c r="W76" s="10" t="n">
        <v>60</v>
      </c>
      <c r="X76" s="10" t="n">
        <v>30</v>
      </c>
      <c r="Y76" s="7" t="s">
        <v>750</v>
      </c>
      <c r="Z76" s="7"/>
      <c r="AA76" s="7"/>
      <c r="AB76" s="7"/>
      <c r="AC76" s="12" t="s">
        <v>469</v>
      </c>
    </row>
    <row r="77" customFormat="false" ht="69.75" hidden="false" customHeight="true" outlineLevel="0" collapsed="false">
      <c r="A77" s="15" t="s">
        <v>786</v>
      </c>
      <c r="B77" s="15" t="s">
        <v>740</v>
      </c>
      <c r="C77" s="7" t="s">
        <v>787</v>
      </c>
      <c r="D77" s="7" t="s">
        <v>788</v>
      </c>
      <c r="E77" s="7" t="s">
        <v>789</v>
      </c>
      <c r="F77" s="8" t="n">
        <v>50000</v>
      </c>
      <c r="G77" s="8" t="n">
        <v>250000</v>
      </c>
      <c r="H77" s="7" t="s">
        <v>123</v>
      </c>
      <c r="I77" s="7" t="s">
        <v>123</v>
      </c>
      <c r="J77" s="7" t="s">
        <v>790</v>
      </c>
      <c r="K77" s="7" t="s">
        <v>791</v>
      </c>
      <c r="L77" s="7" t="s">
        <v>299</v>
      </c>
      <c r="M77" s="7" t="s">
        <v>123</v>
      </c>
      <c r="N77" s="7" t="s">
        <v>300</v>
      </c>
      <c r="O77" s="7" t="s">
        <v>111</v>
      </c>
      <c r="P77" s="7" t="s">
        <v>111</v>
      </c>
      <c r="Q77" s="7" t="s">
        <v>111</v>
      </c>
      <c r="R77" s="7" t="s">
        <v>111</v>
      </c>
      <c r="S77" s="7" t="s">
        <v>792</v>
      </c>
      <c r="T77" s="7" t="s">
        <v>793</v>
      </c>
      <c r="U77" s="7" t="s">
        <v>114</v>
      </c>
      <c r="V77" s="9" t="s">
        <v>777</v>
      </c>
      <c r="W77" s="10" t="n">
        <v>60</v>
      </c>
      <c r="X77" s="10" t="n">
        <v>30</v>
      </c>
      <c r="Y77" s="7" t="s">
        <v>750</v>
      </c>
      <c r="Z77" s="7"/>
      <c r="AA77" s="7"/>
      <c r="AB77" s="7"/>
      <c r="AC77" s="12" t="s">
        <v>469</v>
      </c>
    </row>
    <row r="78" customFormat="false" ht="69.75" hidden="false" customHeight="true" outlineLevel="0" collapsed="false">
      <c r="A78" s="15" t="s">
        <v>794</v>
      </c>
      <c r="B78" s="15" t="s">
        <v>740</v>
      </c>
      <c r="C78" s="7" t="s">
        <v>795</v>
      </c>
      <c r="D78" s="7" t="s">
        <v>796</v>
      </c>
      <c r="E78" s="7" t="s">
        <v>797</v>
      </c>
      <c r="F78" s="8" t="n">
        <v>30000</v>
      </c>
      <c r="G78" s="8" t="n">
        <v>100000</v>
      </c>
      <c r="H78" s="7" t="s">
        <v>123</v>
      </c>
      <c r="I78" s="7" t="s">
        <v>123</v>
      </c>
      <c r="J78" s="7" t="s">
        <v>798</v>
      </c>
      <c r="K78" s="7" t="s">
        <v>799</v>
      </c>
      <c r="L78" s="7" t="s">
        <v>311</v>
      </c>
      <c r="M78" s="7" t="s">
        <v>106</v>
      </c>
      <c r="N78" s="7" t="s">
        <v>300</v>
      </c>
      <c r="O78" s="7" t="s">
        <v>111</v>
      </c>
      <c r="P78" s="7" t="s">
        <v>111</v>
      </c>
      <c r="Q78" s="7" t="s">
        <v>111</v>
      </c>
      <c r="R78" s="7" t="s">
        <v>111</v>
      </c>
      <c r="S78" s="7" t="s">
        <v>800</v>
      </c>
      <c r="T78" s="7" t="s">
        <v>801</v>
      </c>
      <c r="U78" s="7" t="s">
        <v>114</v>
      </c>
      <c r="V78" s="9" t="s">
        <v>802</v>
      </c>
      <c r="W78" s="10" t="n">
        <v>60</v>
      </c>
      <c r="X78" s="10" t="n">
        <v>30</v>
      </c>
      <c r="Y78" s="7" t="s">
        <v>750</v>
      </c>
      <c r="Z78" s="7"/>
      <c r="AA78" s="7"/>
      <c r="AB78" s="7"/>
      <c r="AC78" s="12" t="s">
        <v>469</v>
      </c>
    </row>
    <row r="79" customFormat="false" ht="69.75" hidden="false" customHeight="true" outlineLevel="0" collapsed="false">
      <c r="A79" s="15" t="s">
        <v>803</v>
      </c>
      <c r="B79" s="15" t="s">
        <v>740</v>
      </c>
      <c r="C79" s="7" t="s">
        <v>804</v>
      </c>
      <c r="D79" s="7" t="s">
        <v>805</v>
      </c>
      <c r="E79" s="7" t="s">
        <v>806</v>
      </c>
      <c r="F79" s="8" t="n">
        <v>20000</v>
      </c>
      <c r="G79" s="8" t="n">
        <v>100000</v>
      </c>
      <c r="H79" s="7" t="s">
        <v>123</v>
      </c>
      <c r="I79" s="7" t="s">
        <v>106</v>
      </c>
      <c r="J79" s="7" t="s">
        <v>807</v>
      </c>
      <c r="K79" s="7" t="s">
        <v>808</v>
      </c>
      <c r="L79" s="7" t="s">
        <v>311</v>
      </c>
      <c r="M79" s="7" t="s">
        <v>106</v>
      </c>
      <c r="N79" s="7" t="s">
        <v>220</v>
      </c>
      <c r="O79" s="7" t="s">
        <v>111</v>
      </c>
      <c r="P79" s="7" t="s">
        <v>111</v>
      </c>
      <c r="Q79" s="7" t="s">
        <v>111</v>
      </c>
      <c r="R79" s="7" t="s">
        <v>111</v>
      </c>
      <c r="S79" s="7" t="s">
        <v>809</v>
      </c>
      <c r="T79" s="7" t="s">
        <v>810</v>
      </c>
      <c r="U79" s="7" t="s">
        <v>114</v>
      </c>
      <c r="V79" s="9" t="s">
        <v>811</v>
      </c>
      <c r="W79" s="10" t="n">
        <v>60</v>
      </c>
      <c r="X79" s="10" t="n">
        <v>30</v>
      </c>
      <c r="Y79" s="7" t="s">
        <v>750</v>
      </c>
      <c r="Z79" s="7"/>
      <c r="AA79" s="7"/>
      <c r="AB79" s="7"/>
      <c r="AC79" s="12" t="s">
        <v>469</v>
      </c>
    </row>
    <row r="80" customFormat="false" ht="69.75" hidden="false" customHeight="true" outlineLevel="0" collapsed="false">
      <c r="A80" s="16" t="s">
        <v>812</v>
      </c>
      <c r="B80" s="16" t="s">
        <v>813</v>
      </c>
      <c r="C80" s="7" t="s">
        <v>814</v>
      </c>
      <c r="D80" s="7" t="s">
        <v>815</v>
      </c>
      <c r="E80" s="7" t="s">
        <v>816</v>
      </c>
      <c r="F80" s="8" t="n">
        <v>100000</v>
      </c>
      <c r="G80" s="8" t="n">
        <v>800000</v>
      </c>
      <c r="H80" s="7" t="s">
        <v>105</v>
      </c>
      <c r="I80" s="7" t="s">
        <v>123</v>
      </c>
      <c r="J80" s="7" t="s">
        <v>817</v>
      </c>
      <c r="K80" s="7" t="s">
        <v>818</v>
      </c>
      <c r="L80" s="7" t="s">
        <v>299</v>
      </c>
      <c r="M80" s="7" t="s">
        <v>123</v>
      </c>
      <c r="N80" s="7" t="s">
        <v>819</v>
      </c>
      <c r="O80" s="7" t="s">
        <v>111</v>
      </c>
      <c r="P80" s="7" t="s">
        <v>192</v>
      </c>
      <c r="Q80" s="7" t="s">
        <v>111</v>
      </c>
      <c r="R80" s="7" t="s">
        <v>192</v>
      </c>
      <c r="S80" s="7" t="s">
        <v>820</v>
      </c>
      <c r="T80" s="7" t="s">
        <v>821</v>
      </c>
      <c r="U80" s="7" t="s">
        <v>114</v>
      </c>
      <c r="V80" s="9" t="s">
        <v>822</v>
      </c>
      <c r="W80" s="10" t="n">
        <v>40</v>
      </c>
      <c r="X80" s="10"/>
      <c r="Y80" s="7" t="s">
        <v>823</v>
      </c>
      <c r="Z80" s="7"/>
      <c r="AA80" s="7"/>
      <c r="AB80" s="7" t="s">
        <v>168</v>
      </c>
      <c r="AC80" s="7" t="s">
        <v>156</v>
      </c>
    </row>
    <row r="81" customFormat="false" ht="69.75" hidden="false" customHeight="true" outlineLevel="0" collapsed="false">
      <c r="A81" s="16" t="s">
        <v>824</v>
      </c>
      <c r="B81" s="16" t="s">
        <v>813</v>
      </c>
      <c r="C81" s="7" t="s">
        <v>825</v>
      </c>
      <c r="D81" s="7" t="s">
        <v>826</v>
      </c>
      <c r="E81" s="7" t="s">
        <v>827</v>
      </c>
      <c r="F81" s="8" t="n">
        <v>100000</v>
      </c>
      <c r="G81" s="8" t="n">
        <v>600000</v>
      </c>
      <c r="H81" s="7" t="s">
        <v>105</v>
      </c>
      <c r="I81" s="7" t="s">
        <v>105</v>
      </c>
      <c r="J81" s="7" t="s">
        <v>828</v>
      </c>
      <c r="K81" s="7" t="s">
        <v>829</v>
      </c>
      <c r="L81" s="7" t="s">
        <v>299</v>
      </c>
      <c r="M81" s="7" t="s">
        <v>105</v>
      </c>
      <c r="N81" s="7" t="s">
        <v>568</v>
      </c>
      <c r="O81" s="7" t="s">
        <v>111</v>
      </c>
      <c r="P81" s="7" t="s">
        <v>111</v>
      </c>
      <c r="Q81" s="7" t="s">
        <v>111</v>
      </c>
      <c r="R81" s="7" t="s">
        <v>192</v>
      </c>
      <c r="S81" s="7" t="s">
        <v>830</v>
      </c>
      <c r="T81" s="7" t="s">
        <v>831</v>
      </c>
      <c r="U81" s="7" t="s">
        <v>114</v>
      </c>
      <c r="V81" s="9" t="s">
        <v>832</v>
      </c>
      <c r="W81" s="10" t="n">
        <v>40</v>
      </c>
      <c r="X81" s="10"/>
      <c r="Y81" s="7" t="s">
        <v>823</v>
      </c>
      <c r="Z81" s="7"/>
      <c r="AA81" s="7"/>
      <c r="AB81" s="7" t="s">
        <v>168</v>
      </c>
      <c r="AC81" s="7" t="s">
        <v>156</v>
      </c>
    </row>
    <row r="82" customFormat="false" ht="69.75" hidden="false" customHeight="true" outlineLevel="0" collapsed="false">
      <c r="A82" s="16" t="s">
        <v>833</v>
      </c>
      <c r="B82" s="16" t="s">
        <v>813</v>
      </c>
      <c r="C82" s="7" t="s">
        <v>834</v>
      </c>
      <c r="D82" s="7" t="s">
        <v>835</v>
      </c>
      <c r="E82" s="7" t="s">
        <v>836</v>
      </c>
      <c r="F82" s="8" t="n">
        <v>50000</v>
      </c>
      <c r="G82" s="8" t="n">
        <v>250000</v>
      </c>
      <c r="H82" s="7" t="s">
        <v>123</v>
      </c>
      <c r="I82" s="7" t="s">
        <v>123</v>
      </c>
      <c r="J82" s="7" t="s">
        <v>837</v>
      </c>
      <c r="K82" s="7" t="s">
        <v>838</v>
      </c>
      <c r="L82" s="7" t="s">
        <v>311</v>
      </c>
      <c r="M82" s="7" t="s">
        <v>123</v>
      </c>
      <c r="N82" s="7" t="s">
        <v>220</v>
      </c>
      <c r="O82" s="7" t="s">
        <v>111</v>
      </c>
      <c r="P82" s="7" t="s">
        <v>111</v>
      </c>
      <c r="Q82" s="7" t="s">
        <v>111</v>
      </c>
      <c r="R82" s="7" t="s">
        <v>192</v>
      </c>
      <c r="S82" s="7" t="s">
        <v>839</v>
      </c>
      <c r="T82" s="7" t="s">
        <v>840</v>
      </c>
      <c r="U82" s="7" t="s">
        <v>114</v>
      </c>
      <c r="V82" s="9" t="s">
        <v>841</v>
      </c>
      <c r="W82" s="10" t="n">
        <v>40</v>
      </c>
      <c r="X82" s="10"/>
      <c r="Y82" s="7" t="s">
        <v>823</v>
      </c>
      <c r="Z82" s="7"/>
      <c r="AA82" s="7"/>
      <c r="AB82" s="7"/>
      <c r="AC82" s="7" t="s">
        <v>156</v>
      </c>
    </row>
    <row r="83" customFormat="false" ht="69.75" hidden="false" customHeight="true" outlineLevel="0" collapsed="false">
      <c r="A83" s="16" t="s">
        <v>842</v>
      </c>
      <c r="B83" s="16" t="s">
        <v>813</v>
      </c>
      <c r="C83" s="7" t="s">
        <v>843</v>
      </c>
      <c r="D83" s="7" t="s">
        <v>844</v>
      </c>
      <c r="E83" s="7" t="s">
        <v>845</v>
      </c>
      <c r="F83" s="8" t="n">
        <v>5000</v>
      </c>
      <c r="G83" s="8" t="n">
        <v>100000</v>
      </c>
      <c r="H83" s="7" t="s">
        <v>161</v>
      </c>
      <c r="I83" s="7" t="s">
        <v>106</v>
      </c>
      <c r="J83" s="7" t="s">
        <v>846</v>
      </c>
      <c r="K83" s="7" t="s">
        <v>847</v>
      </c>
      <c r="L83" s="7" t="s">
        <v>164</v>
      </c>
      <c r="M83" s="7" t="s">
        <v>106</v>
      </c>
      <c r="N83" s="7" t="s">
        <v>220</v>
      </c>
      <c r="O83" s="7" t="s">
        <v>111</v>
      </c>
      <c r="P83" s="7" t="s">
        <v>344</v>
      </c>
      <c r="Q83" s="7" t="s">
        <v>111</v>
      </c>
      <c r="R83" s="7" t="s">
        <v>344</v>
      </c>
      <c r="S83" s="7" t="s">
        <v>848</v>
      </c>
      <c r="T83" s="7" t="s">
        <v>849</v>
      </c>
      <c r="U83" s="7" t="s">
        <v>114</v>
      </c>
      <c r="V83" s="9" t="s">
        <v>850</v>
      </c>
      <c r="W83" s="10" t="n">
        <v>40</v>
      </c>
      <c r="X83" s="10"/>
      <c r="Y83" s="7" t="s">
        <v>823</v>
      </c>
      <c r="Z83" s="7"/>
      <c r="AA83" s="7"/>
      <c r="AB83" s="7"/>
      <c r="AC83" s="7" t="s">
        <v>156</v>
      </c>
    </row>
    <row r="84" customFormat="false" ht="69.75" hidden="false" customHeight="true" outlineLevel="0" collapsed="false">
      <c r="A84" s="17" t="s">
        <v>851</v>
      </c>
      <c r="B84" s="17" t="s">
        <v>852</v>
      </c>
      <c r="C84" s="7" t="s">
        <v>853</v>
      </c>
      <c r="D84" s="7" t="s">
        <v>854</v>
      </c>
      <c r="E84" s="7" t="s">
        <v>855</v>
      </c>
      <c r="F84" s="8" t="n">
        <v>100000</v>
      </c>
      <c r="G84" s="8" t="n">
        <v>400000</v>
      </c>
      <c r="H84" s="7" t="s">
        <v>105</v>
      </c>
      <c r="I84" s="7" t="s">
        <v>123</v>
      </c>
      <c r="J84" s="7" t="s">
        <v>856</v>
      </c>
      <c r="K84" s="7" t="s">
        <v>857</v>
      </c>
      <c r="L84" s="7" t="s">
        <v>299</v>
      </c>
      <c r="M84" s="7" t="s">
        <v>123</v>
      </c>
      <c r="N84" s="7" t="s">
        <v>300</v>
      </c>
      <c r="O84" s="7" t="s">
        <v>111</v>
      </c>
      <c r="P84" s="7" t="s">
        <v>111</v>
      </c>
      <c r="Q84" s="7" t="s">
        <v>111</v>
      </c>
      <c r="R84" s="7" t="s">
        <v>192</v>
      </c>
      <c r="S84" s="7" t="s">
        <v>858</v>
      </c>
      <c r="T84" s="7" t="s">
        <v>859</v>
      </c>
      <c r="U84" s="7" t="s">
        <v>114</v>
      </c>
      <c r="V84" s="9" t="s">
        <v>860</v>
      </c>
      <c r="W84" s="10" t="n">
        <v>80</v>
      </c>
      <c r="X84" s="10" t="n">
        <v>40</v>
      </c>
      <c r="Y84" s="7" t="s">
        <v>664</v>
      </c>
      <c r="Z84" s="7"/>
      <c r="AA84" s="7"/>
      <c r="AB84" s="7"/>
      <c r="AC84" s="12" t="s">
        <v>469</v>
      </c>
    </row>
    <row r="85" customFormat="false" ht="69.75" hidden="false" customHeight="true" outlineLevel="0" collapsed="false">
      <c r="A85" s="17" t="s">
        <v>861</v>
      </c>
      <c r="B85" s="17" t="s">
        <v>852</v>
      </c>
      <c r="C85" s="7" t="s">
        <v>862</v>
      </c>
      <c r="D85" s="7" t="s">
        <v>863</v>
      </c>
      <c r="E85" s="7" t="s">
        <v>864</v>
      </c>
      <c r="F85" s="8" t="n">
        <v>150000</v>
      </c>
      <c r="G85" s="8" t="n">
        <v>500000</v>
      </c>
      <c r="H85" s="7" t="s">
        <v>105</v>
      </c>
      <c r="I85" s="7" t="s">
        <v>123</v>
      </c>
      <c r="J85" s="7" t="s">
        <v>865</v>
      </c>
      <c r="K85" s="7" t="s">
        <v>866</v>
      </c>
      <c r="L85" s="7" t="s">
        <v>299</v>
      </c>
      <c r="M85" s="7" t="s">
        <v>105</v>
      </c>
      <c r="N85" s="7" t="s">
        <v>300</v>
      </c>
      <c r="O85" s="7" t="s">
        <v>111</v>
      </c>
      <c r="P85" s="7" t="s">
        <v>111</v>
      </c>
      <c r="Q85" s="7" t="s">
        <v>192</v>
      </c>
      <c r="R85" s="7" t="s">
        <v>192</v>
      </c>
      <c r="S85" s="7" t="s">
        <v>867</v>
      </c>
      <c r="T85" s="7" t="s">
        <v>544</v>
      </c>
      <c r="U85" s="7" t="s">
        <v>114</v>
      </c>
      <c r="V85" s="9" t="s">
        <v>868</v>
      </c>
      <c r="W85" s="10" t="n">
        <v>80</v>
      </c>
      <c r="X85" s="10" t="n">
        <v>40</v>
      </c>
      <c r="Y85" s="7" t="s">
        <v>664</v>
      </c>
      <c r="Z85" s="7"/>
      <c r="AA85" s="7"/>
      <c r="AB85" s="7"/>
      <c r="AC85" s="12" t="s">
        <v>469</v>
      </c>
    </row>
    <row r="86" customFormat="false" ht="69.75" hidden="false" customHeight="true" outlineLevel="0" collapsed="false">
      <c r="A86" s="17" t="s">
        <v>869</v>
      </c>
      <c r="B86" s="17" t="s">
        <v>852</v>
      </c>
      <c r="C86" s="7" t="s">
        <v>870</v>
      </c>
      <c r="D86" s="7" t="s">
        <v>871</v>
      </c>
      <c r="E86" s="7" t="s">
        <v>872</v>
      </c>
      <c r="F86" s="8" t="n">
        <v>50000</v>
      </c>
      <c r="G86" s="8" t="n">
        <v>200000</v>
      </c>
      <c r="H86" s="7" t="s">
        <v>123</v>
      </c>
      <c r="I86" s="7" t="s">
        <v>106</v>
      </c>
      <c r="J86" s="7" t="s">
        <v>873</v>
      </c>
      <c r="K86" s="7" t="s">
        <v>874</v>
      </c>
      <c r="L86" s="7" t="s">
        <v>311</v>
      </c>
      <c r="M86" s="7" t="s">
        <v>123</v>
      </c>
      <c r="N86" s="7" t="s">
        <v>300</v>
      </c>
      <c r="O86" s="7" t="s">
        <v>111</v>
      </c>
      <c r="P86" s="7" t="s">
        <v>111</v>
      </c>
      <c r="Q86" s="7" t="s">
        <v>111</v>
      </c>
      <c r="R86" s="7" t="s">
        <v>111</v>
      </c>
      <c r="S86" s="7" t="s">
        <v>875</v>
      </c>
      <c r="T86" s="7" t="s">
        <v>876</v>
      </c>
      <c r="U86" s="7" t="s">
        <v>114</v>
      </c>
      <c r="V86" s="9" t="s">
        <v>877</v>
      </c>
      <c r="W86" s="10" t="n">
        <v>80</v>
      </c>
      <c r="X86" s="10" t="n">
        <v>40</v>
      </c>
      <c r="Y86" s="7" t="s">
        <v>664</v>
      </c>
      <c r="Z86" s="7"/>
      <c r="AA86" s="7"/>
      <c r="AB86" s="7"/>
      <c r="AC86" s="12" t="s">
        <v>469</v>
      </c>
    </row>
    <row r="87" customFormat="false" ht="69.75" hidden="false" customHeight="true" outlineLevel="0" collapsed="false">
      <c r="A87" s="17" t="s">
        <v>878</v>
      </c>
      <c r="B87" s="17" t="s">
        <v>852</v>
      </c>
      <c r="C87" s="7" t="s">
        <v>879</v>
      </c>
      <c r="D87" s="7" t="s">
        <v>880</v>
      </c>
      <c r="E87" s="7" t="s">
        <v>881</v>
      </c>
      <c r="F87" s="8" t="n">
        <v>50000</v>
      </c>
      <c r="G87" s="8" t="n">
        <v>200000</v>
      </c>
      <c r="H87" s="7" t="s">
        <v>123</v>
      </c>
      <c r="I87" s="7" t="s">
        <v>123</v>
      </c>
      <c r="J87" s="7" t="s">
        <v>882</v>
      </c>
      <c r="K87" s="7" t="s">
        <v>883</v>
      </c>
      <c r="L87" s="7" t="s">
        <v>299</v>
      </c>
      <c r="M87" s="7" t="s">
        <v>123</v>
      </c>
      <c r="N87" s="7" t="s">
        <v>300</v>
      </c>
      <c r="O87" s="7" t="s">
        <v>111</v>
      </c>
      <c r="P87" s="7" t="s">
        <v>111</v>
      </c>
      <c r="Q87" s="7" t="s">
        <v>111</v>
      </c>
      <c r="R87" s="7" t="s">
        <v>111</v>
      </c>
      <c r="S87" s="7" t="s">
        <v>884</v>
      </c>
      <c r="T87" s="7" t="s">
        <v>885</v>
      </c>
      <c r="U87" s="7" t="s">
        <v>114</v>
      </c>
      <c r="V87" s="9" t="s">
        <v>749</v>
      </c>
      <c r="W87" s="10" t="n">
        <v>80</v>
      </c>
      <c r="X87" s="10" t="n">
        <v>40</v>
      </c>
      <c r="Y87" s="7" t="s">
        <v>664</v>
      </c>
      <c r="Z87" s="7"/>
      <c r="AA87" s="7"/>
      <c r="AB87" s="7"/>
      <c r="AC87" s="12" t="s">
        <v>469</v>
      </c>
    </row>
    <row r="88" customFormat="false" ht="69.75" hidden="false" customHeight="true" outlineLevel="0" collapsed="false">
      <c r="A88" s="17" t="s">
        <v>886</v>
      </c>
      <c r="B88" s="17" t="s">
        <v>852</v>
      </c>
      <c r="C88" s="7" t="s">
        <v>887</v>
      </c>
      <c r="D88" s="7" t="s">
        <v>888</v>
      </c>
      <c r="E88" s="7" t="s">
        <v>889</v>
      </c>
      <c r="F88" s="8" t="n">
        <v>30000</v>
      </c>
      <c r="G88" s="8" t="n">
        <v>150000</v>
      </c>
      <c r="H88" s="7" t="s">
        <v>123</v>
      </c>
      <c r="I88" s="7" t="s">
        <v>123</v>
      </c>
      <c r="J88" s="7" t="s">
        <v>890</v>
      </c>
      <c r="K88" s="7" t="s">
        <v>891</v>
      </c>
      <c r="L88" s="7" t="s">
        <v>311</v>
      </c>
      <c r="M88" s="7" t="s">
        <v>123</v>
      </c>
      <c r="N88" s="7" t="s">
        <v>220</v>
      </c>
      <c r="O88" s="7" t="s">
        <v>111</v>
      </c>
      <c r="P88" s="7" t="s">
        <v>111</v>
      </c>
      <c r="Q88" s="7" t="s">
        <v>111</v>
      </c>
      <c r="R88" s="7" t="s">
        <v>111</v>
      </c>
      <c r="S88" s="7" t="s">
        <v>892</v>
      </c>
      <c r="T88" s="7" t="s">
        <v>893</v>
      </c>
      <c r="U88" s="7" t="s">
        <v>114</v>
      </c>
      <c r="V88" s="9" t="s">
        <v>811</v>
      </c>
      <c r="W88" s="10" t="n">
        <v>80</v>
      </c>
      <c r="X88" s="10" t="n">
        <v>40</v>
      </c>
      <c r="Y88" s="7" t="s">
        <v>664</v>
      </c>
      <c r="Z88" s="7"/>
      <c r="AA88" s="7"/>
      <c r="AB88" s="7"/>
      <c r="AC88" s="12" t="s">
        <v>469</v>
      </c>
    </row>
    <row r="89" customFormat="false" ht="69.75" hidden="false" customHeight="true" outlineLevel="0" collapsed="false">
      <c r="A89" s="18" t="s">
        <v>894</v>
      </c>
      <c r="B89" s="18" t="s">
        <v>895</v>
      </c>
      <c r="C89" s="7" t="s">
        <v>896</v>
      </c>
      <c r="D89" s="7" t="s">
        <v>897</v>
      </c>
      <c r="E89" s="7" t="s">
        <v>898</v>
      </c>
      <c r="F89" s="8" t="n">
        <v>150000</v>
      </c>
      <c r="G89" s="8" t="n">
        <v>500000</v>
      </c>
      <c r="H89" s="7" t="s">
        <v>105</v>
      </c>
      <c r="I89" s="7" t="s">
        <v>123</v>
      </c>
      <c r="J89" s="7" t="s">
        <v>899</v>
      </c>
      <c r="K89" s="7" t="s">
        <v>900</v>
      </c>
      <c r="L89" s="7" t="s">
        <v>299</v>
      </c>
      <c r="M89" s="7" t="s">
        <v>105</v>
      </c>
      <c r="N89" s="7" t="s">
        <v>300</v>
      </c>
      <c r="O89" s="7" t="s">
        <v>111</v>
      </c>
      <c r="P89" s="7" t="s">
        <v>111</v>
      </c>
      <c r="Q89" s="7" t="s">
        <v>111</v>
      </c>
      <c r="R89" s="7" t="s">
        <v>111</v>
      </c>
      <c r="S89" s="7" t="s">
        <v>901</v>
      </c>
      <c r="T89" s="7" t="s">
        <v>902</v>
      </c>
      <c r="U89" s="7" t="s">
        <v>114</v>
      </c>
      <c r="V89" s="9" t="s">
        <v>903</v>
      </c>
      <c r="W89" s="10" t="n">
        <v>30</v>
      </c>
      <c r="X89" s="10" t="n">
        <v>200</v>
      </c>
      <c r="Y89" s="7" t="s">
        <v>904</v>
      </c>
      <c r="Z89" s="7"/>
      <c r="AA89" s="7"/>
      <c r="AB89" s="7"/>
      <c r="AC89" s="7" t="s">
        <v>156</v>
      </c>
    </row>
    <row r="90" customFormat="false" ht="69.75" hidden="false" customHeight="true" outlineLevel="0" collapsed="false">
      <c r="A90" s="18" t="s">
        <v>905</v>
      </c>
      <c r="B90" s="18" t="s">
        <v>895</v>
      </c>
      <c r="C90" s="7" t="s">
        <v>906</v>
      </c>
      <c r="D90" s="7" t="s">
        <v>907</v>
      </c>
      <c r="E90" s="7" t="s">
        <v>908</v>
      </c>
      <c r="F90" s="8" t="n">
        <v>30000</v>
      </c>
      <c r="G90" s="8" t="n">
        <v>150000</v>
      </c>
      <c r="H90" s="7" t="s">
        <v>123</v>
      </c>
      <c r="I90" s="7" t="s">
        <v>106</v>
      </c>
      <c r="J90" s="7" t="s">
        <v>909</v>
      </c>
      <c r="K90" s="7" t="s">
        <v>910</v>
      </c>
      <c r="L90" s="7" t="s">
        <v>311</v>
      </c>
      <c r="M90" s="7" t="s">
        <v>123</v>
      </c>
      <c r="N90" s="7" t="s">
        <v>220</v>
      </c>
      <c r="O90" s="7" t="s">
        <v>111</v>
      </c>
      <c r="P90" s="7" t="s">
        <v>111</v>
      </c>
      <c r="Q90" s="7" t="s">
        <v>111</v>
      </c>
      <c r="R90" s="7" t="s">
        <v>111</v>
      </c>
      <c r="S90" s="7" t="s">
        <v>911</v>
      </c>
      <c r="T90" s="7" t="s">
        <v>912</v>
      </c>
      <c r="U90" s="7" t="s">
        <v>114</v>
      </c>
      <c r="V90" s="9" t="s">
        <v>913</v>
      </c>
      <c r="W90" s="10" t="n">
        <v>30</v>
      </c>
      <c r="X90" s="10" t="n">
        <v>200</v>
      </c>
      <c r="Y90" s="7" t="s">
        <v>904</v>
      </c>
      <c r="Z90" s="7"/>
      <c r="AA90" s="7"/>
      <c r="AB90" s="7"/>
      <c r="AC90" s="7" t="s">
        <v>156</v>
      </c>
    </row>
    <row r="91" customFormat="false" ht="69.75" hidden="false" customHeight="true" outlineLevel="0" collapsed="false">
      <c r="A91" s="18" t="s">
        <v>914</v>
      </c>
      <c r="B91" s="18" t="s">
        <v>895</v>
      </c>
      <c r="C91" s="7" t="s">
        <v>915</v>
      </c>
      <c r="D91" s="7" t="s">
        <v>916</v>
      </c>
      <c r="E91" s="7" t="s">
        <v>917</v>
      </c>
      <c r="F91" s="8" t="n">
        <v>80000</v>
      </c>
      <c r="G91" s="8" t="n">
        <v>400000</v>
      </c>
      <c r="H91" s="7" t="s">
        <v>105</v>
      </c>
      <c r="I91" s="7" t="s">
        <v>123</v>
      </c>
      <c r="J91" s="7" t="s">
        <v>918</v>
      </c>
      <c r="K91" s="7" t="s">
        <v>919</v>
      </c>
      <c r="L91" s="7" t="s">
        <v>299</v>
      </c>
      <c r="M91" s="7" t="s">
        <v>123</v>
      </c>
      <c r="N91" s="7" t="s">
        <v>220</v>
      </c>
      <c r="O91" s="7" t="s">
        <v>111</v>
      </c>
      <c r="P91" s="7" t="s">
        <v>111</v>
      </c>
      <c r="Q91" s="7" t="s">
        <v>111</v>
      </c>
      <c r="R91" s="7" t="s">
        <v>192</v>
      </c>
      <c r="S91" s="7" t="s">
        <v>920</v>
      </c>
      <c r="T91" s="7" t="s">
        <v>921</v>
      </c>
      <c r="U91" s="7" t="s">
        <v>114</v>
      </c>
      <c r="V91" s="9" t="s">
        <v>922</v>
      </c>
      <c r="W91" s="10" t="n">
        <v>30</v>
      </c>
      <c r="X91" s="10" t="n">
        <v>200</v>
      </c>
      <c r="Y91" s="7" t="s">
        <v>904</v>
      </c>
      <c r="Z91" s="7" t="s">
        <v>905</v>
      </c>
      <c r="AA91" s="7"/>
      <c r="AB91" s="7" t="s">
        <v>923</v>
      </c>
      <c r="AC91" s="7" t="s">
        <v>156</v>
      </c>
    </row>
    <row r="92" customFormat="false" ht="69.75" hidden="false" customHeight="true" outlineLevel="0" collapsed="false">
      <c r="A92" s="18" t="s">
        <v>924</v>
      </c>
      <c r="B92" s="18" t="s">
        <v>895</v>
      </c>
      <c r="C92" s="7" t="s">
        <v>925</v>
      </c>
      <c r="D92" s="7" t="s">
        <v>926</v>
      </c>
      <c r="E92" s="7" t="s">
        <v>927</v>
      </c>
      <c r="F92" s="8" t="n">
        <v>20000</v>
      </c>
      <c r="G92" s="8" t="n">
        <v>100000</v>
      </c>
      <c r="H92" s="7" t="s">
        <v>123</v>
      </c>
      <c r="I92" s="7" t="s">
        <v>123</v>
      </c>
      <c r="J92" s="7" t="s">
        <v>928</v>
      </c>
      <c r="K92" s="7" t="s">
        <v>929</v>
      </c>
      <c r="L92" s="7" t="s">
        <v>311</v>
      </c>
      <c r="M92" s="7" t="s">
        <v>123</v>
      </c>
      <c r="N92" s="7" t="s">
        <v>220</v>
      </c>
      <c r="O92" s="7" t="s">
        <v>111</v>
      </c>
      <c r="P92" s="7" t="s">
        <v>111</v>
      </c>
      <c r="Q92" s="7" t="s">
        <v>111</v>
      </c>
      <c r="R92" s="7" t="s">
        <v>111</v>
      </c>
      <c r="S92" s="7" t="s">
        <v>930</v>
      </c>
      <c r="T92" s="7" t="s">
        <v>931</v>
      </c>
      <c r="U92" s="7" t="s">
        <v>114</v>
      </c>
      <c r="V92" s="9" t="s">
        <v>932</v>
      </c>
      <c r="W92" s="10" t="n">
        <v>30</v>
      </c>
      <c r="X92" s="10" t="n">
        <v>200</v>
      </c>
      <c r="Y92" s="7" t="s">
        <v>904</v>
      </c>
      <c r="Z92" s="7"/>
      <c r="AA92" s="7"/>
      <c r="AB92" s="7"/>
      <c r="AC92" s="7" t="s">
        <v>156</v>
      </c>
    </row>
    <row r="93" customFormat="false" ht="69.75" hidden="false" customHeight="true" outlineLevel="0" collapsed="false">
      <c r="A93" s="19" t="s">
        <v>933</v>
      </c>
      <c r="B93" s="19" t="s">
        <v>934</v>
      </c>
      <c r="C93" s="7" t="s">
        <v>935</v>
      </c>
      <c r="D93" s="7" t="s">
        <v>936</v>
      </c>
      <c r="E93" s="7" t="s">
        <v>937</v>
      </c>
      <c r="F93" s="8" t="n">
        <v>500000</v>
      </c>
      <c r="G93" s="8" t="n">
        <v>3000000</v>
      </c>
      <c r="H93" s="7" t="s">
        <v>361</v>
      </c>
      <c r="I93" s="7" t="s">
        <v>105</v>
      </c>
      <c r="J93" s="7" t="s">
        <v>938</v>
      </c>
      <c r="K93" s="7" t="s">
        <v>939</v>
      </c>
      <c r="L93" s="7" t="s">
        <v>299</v>
      </c>
      <c r="M93" s="7" t="s">
        <v>105</v>
      </c>
      <c r="N93" s="7" t="s">
        <v>940</v>
      </c>
      <c r="O93" s="7" t="s">
        <v>111</v>
      </c>
      <c r="P93" s="7" t="s">
        <v>111</v>
      </c>
      <c r="Q93" s="7" t="s">
        <v>111</v>
      </c>
      <c r="R93" s="7" t="s">
        <v>111</v>
      </c>
      <c r="S93" s="7" t="s">
        <v>941</v>
      </c>
      <c r="T93" s="7" t="s">
        <v>942</v>
      </c>
      <c r="U93" s="7" t="s">
        <v>114</v>
      </c>
      <c r="V93" s="9" t="s">
        <v>943</v>
      </c>
      <c r="W93" s="10" t="n">
        <v>300</v>
      </c>
      <c r="X93" s="10" t="n">
        <v>500</v>
      </c>
      <c r="Y93" s="7" t="s">
        <v>944</v>
      </c>
      <c r="Z93" s="7"/>
      <c r="AA93" s="7"/>
      <c r="AB93" s="7"/>
      <c r="AC93" s="12" t="s">
        <v>469</v>
      </c>
    </row>
    <row r="94" customFormat="false" ht="69.75" hidden="false" customHeight="true" outlineLevel="0" collapsed="false">
      <c r="A94" s="19" t="s">
        <v>945</v>
      </c>
      <c r="B94" s="19" t="s">
        <v>934</v>
      </c>
      <c r="C94" s="7" t="s">
        <v>946</v>
      </c>
      <c r="D94" s="7" t="s">
        <v>947</v>
      </c>
      <c r="E94" s="7" t="s">
        <v>948</v>
      </c>
      <c r="F94" s="8" t="n">
        <v>200000</v>
      </c>
      <c r="G94" s="8" t="n">
        <v>1000000</v>
      </c>
      <c r="H94" s="7" t="s">
        <v>361</v>
      </c>
      <c r="I94" s="7" t="s">
        <v>105</v>
      </c>
      <c r="J94" s="7" t="s">
        <v>949</v>
      </c>
      <c r="K94" s="7" t="s">
        <v>950</v>
      </c>
      <c r="L94" s="7" t="s">
        <v>299</v>
      </c>
      <c r="M94" s="7" t="s">
        <v>105</v>
      </c>
      <c r="N94" s="7" t="s">
        <v>940</v>
      </c>
      <c r="O94" s="7" t="s">
        <v>111</v>
      </c>
      <c r="P94" s="7" t="s">
        <v>111</v>
      </c>
      <c r="Q94" s="7" t="s">
        <v>111</v>
      </c>
      <c r="R94" s="7" t="s">
        <v>111</v>
      </c>
      <c r="S94" s="7" t="s">
        <v>951</v>
      </c>
      <c r="T94" s="7" t="s">
        <v>952</v>
      </c>
      <c r="U94" s="7" t="s">
        <v>114</v>
      </c>
      <c r="V94" s="9" t="s">
        <v>953</v>
      </c>
      <c r="W94" s="10" t="n">
        <v>300</v>
      </c>
      <c r="X94" s="10" t="n">
        <v>500</v>
      </c>
      <c r="Y94" s="7" t="s">
        <v>944</v>
      </c>
      <c r="Z94" s="7"/>
      <c r="AA94" s="7"/>
      <c r="AB94" s="7"/>
      <c r="AC94" s="7" t="s">
        <v>156</v>
      </c>
    </row>
    <row r="95" customFormat="false" ht="69.75" hidden="false" customHeight="true" outlineLevel="0" collapsed="false">
      <c r="A95" s="19" t="s">
        <v>954</v>
      </c>
      <c r="B95" s="19" t="s">
        <v>934</v>
      </c>
      <c r="C95" s="7" t="s">
        <v>955</v>
      </c>
      <c r="D95" s="7" t="s">
        <v>956</v>
      </c>
      <c r="E95" s="7" t="s">
        <v>957</v>
      </c>
      <c r="F95" s="8" t="n">
        <v>200000</v>
      </c>
      <c r="G95" s="8" t="n">
        <v>1500000</v>
      </c>
      <c r="H95" s="7" t="s">
        <v>361</v>
      </c>
      <c r="I95" s="7" t="s">
        <v>105</v>
      </c>
      <c r="J95" s="7" t="s">
        <v>958</v>
      </c>
      <c r="K95" s="7" t="s">
        <v>959</v>
      </c>
      <c r="L95" s="7" t="s">
        <v>299</v>
      </c>
      <c r="M95" s="7" t="s">
        <v>105</v>
      </c>
      <c r="N95" s="7" t="s">
        <v>960</v>
      </c>
      <c r="O95" s="7" t="s">
        <v>111</v>
      </c>
      <c r="P95" s="7" t="s">
        <v>111</v>
      </c>
      <c r="Q95" s="7" t="s">
        <v>111</v>
      </c>
      <c r="R95" s="7" t="s">
        <v>111</v>
      </c>
      <c r="S95" s="7" t="s">
        <v>961</v>
      </c>
      <c r="T95" s="7" t="s">
        <v>962</v>
      </c>
      <c r="U95" s="7" t="s">
        <v>114</v>
      </c>
      <c r="V95" s="9" t="s">
        <v>963</v>
      </c>
      <c r="W95" s="10" t="n">
        <v>300</v>
      </c>
      <c r="X95" s="10" t="n">
        <v>500</v>
      </c>
      <c r="Y95" s="7" t="s">
        <v>944</v>
      </c>
      <c r="Z95" s="7"/>
      <c r="AA95" s="7"/>
      <c r="AB95" s="7"/>
      <c r="AC95" s="12" t="s">
        <v>469</v>
      </c>
    </row>
  </sheetData>
  <autoFilter ref="A1:AC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0"/>
    <col collapsed="false" customWidth="true" hidden="false" outlineLevel="0" max="3" min="3" style="1" width="22"/>
    <col collapsed="false" customWidth="true" hidden="false" outlineLevel="0" max="7" min="4" style="1" width="12"/>
  </cols>
  <sheetData>
    <row r="1" customFormat="false" ht="30" hidden="false" customHeight="true" outlineLevel="0" collapsed="false">
      <c r="A1" s="5" t="s">
        <v>73</v>
      </c>
      <c r="B1" s="5" t="s">
        <v>76</v>
      </c>
      <c r="C1" s="5" t="s">
        <v>74</v>
      </c>
      <c r="D1" s="5" t="s">
        <v>85</v>
      </c>
      <c r="E1" s="5" t="s">
        <v>86</v>
      </c>
      <c r="F1" s="5" t="s">
        <v>87</v>
      </c>
      <c r="G1" s="5" t="s">
        <v>88</v>
      </c>
    </row>
    <row r="2" customFormat="false" ht="23.25" hidden="false" customHeight="true" outlineLevel="0" collapsed="false">
      <c r="A2" s="7" t="str">
        <f aca="false">Catalog!A2</f>
        <v>OPP-001</v>
      </c>
      <c r="B2" s="7" t="str">
        <f aca="false">Catalog!D2</f>
        <v>Shift budget from saturated channel to channel with headroom</v>
      </c>
      <c r="C2" s="7" t="str">
        <f aca="false">Catalog!B2</f>
        <v>Tactical</v>
      </c>
      <c r="D2" s="20" t="str">
        <f aca="false">Catalog!O2</f>
        <v>Y</v>
      </c>
      <c r="E2" s="20" t="str">
        <f aca="false">Catalog!P2</f>
        <v>Y</v>
      </c>
      <c r="F2" s="20" t="str">
        <f aca="false">Catalog!Q2</f>
        <v>Y</v>
      </c>
      <c r="G2" s="20" t="str">
        <f aca="false">Catalog!R2</f>
        <v>Y</v>
      </c>
    </row>
    <row r="3" customFormat="false" ht="23.25" hidden="false" customHeight="true" outlineLevel="0" collapsed="false">
      <c r="A3" s="7" t="str">
        <f aca="false">Catalog!A3</f>
        <v>OPP-002</v>
      </c>
      <c r="B3" s="7" t="str">
        <f aca="false">Catalog!D3</f>
        <v>Increase spend on top-decile campaign within healthy channel</v>
      </c>
      <c r="C3" s="7" t="str">
        <f aca="false">Catalog!B3</f>
        <v>Tactical</v>
      </c>
      <c r="D3" s="20" t="str">
        <f aca="false">Catalog!O3</f>
        <v>Y</v>
      </c>
      <c r="E3" s="20" t="str">
        <f aca="false">Catalog!P3</f>
        <v>Y</v>
      </c>
      <c r="F3" s="20" t="str">
        <f aca="false">Catalog!Q3</f>
        <v>Y</v>
      </c>
      <c r="G3" s="20" t="str">
        <f aca="false">Catalog!R3</f>
        <v>Y</v>
      </c>
    </row>
    <row r="4" customFormat="false" ht="15" hidden="false" customHeight="true" outlineLevel="0" collapsed="false">
      <c r="A4" s="7" t="str">
        <f aca="false">Catalog!A4</f>
        <v>OPP-003</v>
      </c>
      <c r="B4" s="7" t="str">
        <f aca="false">Catalog!D4</f>
        <v>Eliminate sub-1× ROI campaign at zero downside</v>
      </c>
      <c r="C4" s="7" t="str">
        <f aca="false">Catalog!B4</f>
        <v>Tactical</v>
      </c>
      <c r="D4" s="20" t="str">
        <f aca="false">Catalog!O4</f>
        <v>Y</v>
      </c>
      <c r="E4" s="20" t="str">
        <f aca="false">Catalog!P4</f>
        <v>Y</v>
      </c>
      <c r="F4" s="20" t="str">
        <f aca="false">Catalog!Q4</f>
        <v>Y</v>
      </c>
      <c r="G4" s="20" t="str">
        <f aca="false">Catalog!R4</f>
        <v>Y</v>
      </c>
    </row>
    <row r="5" customFormat="false" ht="15" hidden="false" customHeight="true" outlineLevel="0" collapsed="false">
      <c r="A5" s="7" t="str">
        <f aca="false">Catalog!A5</f>
        <v>OPP-004</v>
      </c>
      <c r="B5" s="7" t="str">
        <f aca="false">Catalog!D5</f>
        <v>Cap spend on past-peak campaign to halt overinvestment</v>
      </c>
      <c r="C5" s="7" t="str">
        <f aca="false">Catalog!B5</f>
        <v>Tactical</v>
      </c>
      <c r="D5" s="20" t="str">
        <f aca="false">Catalog!O5</f>
        <v>Y</v>
      </c>
      <c r="E5" s="20" t="str">
        <f aca="false">Catalog!P5</f>
        <v>Y</v>
      </c>
      <c r="F5" s="20" t="str">
        <f aca="false">Catalog!Q5</f>
        <v>Y</v>
      </c>
      <c r="G5" s="20" t="str">
        <f aca="false">Catalog!R5</f>
        <v>Y</v>
      </c>
    </row>
    <row r="6" customFormat="false" ht="15" hidden="false" customHeight="true" outlineLevel="0" collapsed="false">
      <c r="A6" s="7" t="str">
        <f aca="false">Catalog!A6</f>
        <v>OPP-005</v>
      </c>
      <c r="B6" s="7" t="str">
        <f aca="false">Catalog!D6</f>
        <v>Narrow targeting on broad-audience campaign to lift CVR</v>
      </c>
      <c r="C6" s="7" t="str">
        <f aca="false">Catalog!B6</f>
        <v>Tactical</v>
      </c>
      <c r="D6" s="20" t="str">
        <f aca="false">Catalog!O6</f>
        <v>Y</v>
      </c>
      <c r="E6" s="20" t="str">
        <f aca="false">Catalog!P6</f>
        <v>Y</v>
      </c>
      <c r="F6" s="20" t="str">
        <f aca="false">Catalog!Q6</f>
        <v>Y</v>
      </c>
      <c r="G6" s="20" t="str">
        <f aca="false">Catalog!R6</f>
        <v>Y</v>
      </c>
    </row>
    <row r="7" customFormat="false" ht="15" hidden="false" customHeight="true" outlineLevel="0" collapsed="false">
      <c r="A7" s="7" t="str">
        <f aca="false">Catalog!A7</f>
        <v>OPP-006</v>
      </c>
      <c r="B7" s="7" t="str">
        <f aca="false">Catalog!D7</f>
        <v>Refresh fatigued creative on declining campaign</v>
      </c>
      <c r="C7" s="7" t="str">
        <f aca="false">Catalog!B7</f>
        <v>Tactical</v>
      </c>
      <c r="D7" s="20" t="str">
        <f aca="false">Catalog!O7</f>
        <v>Y</v>
      </c>
      <c r="E7" s="20" t="str">
        <f aca="false">Catalog!P7</f>
        <v>Y</v>
      </c>
      <c r="F7" s="20" t="str">
        <f aca="false">Catalog!Q7</f>
        <v>Y</v>
      </c>
      <c r="G7" s="20" t="str">
        <f aca="false">Catalog!R7</f>
        <v>Y</v>
      </c>
    </row>
    <row r="8" customFormat="false" ht="15" hidden="false" customHeight="true" outlineLevel="0" collapsed="false">
      <c r="A8" s="7" t="str">
        <f aca="false">Catalog!A8</f>
        <v>OPP-007</v>
      </c>
      <c r="B8" s="7" t="str">
        <f aca="false">Catalog!D8</f>
        <v>Apply frequency cap to over-served retargeting audience</v>
      </c>
      <c r="C8" s="7" t="str">
        <f aca="false">Catalog!B8</f>
        <v>Tactical</v>
      </c>
      <c r="D8" s="20" t="str">
        <f aca="false">Catalog!O8</f>
        <v>Y</v>
      </c>
      <c r="E8" s="20" t="str">
        <f aca="false">Catalog!P8</f>
        <v>Y</v>
      </c>
      <c r="F8" s="20" t="str">
        <f aca="false">Catalog!Q8</f>
        <v>Y</v>
      </c>
      <c r="G8" s="20" t="str">
        <f aca="false">Catalog!R8</f>
        <v>Y</v>
      </c>
    </row>
    <row r="9" customFormat="false" ht="15" hidden="false" customHeight="true" outlineLevel="0" collapsed="false">
      <c r="A9" s="7" t="str">
        <f aca="false">Catalog!A9</f>
        <v>OPP-008</v>
      </c>
      <c r="B9" s="7" t="str">
        <f aca="false">Catalog!D9</f>
        <v>Switch bid strategy to better match objective</v>
      </c>
      <c r="C9" s="7" t="str">
        <f aca="false">Catalog!B9</f>
        <v>Tactical</v>
      </c>
      <c r="D9" s="20" t="str">
        <f aca="false">Catalog!O9</f>
        <v>Y</v>
      </c>
      <c r="E9" s="20" t="str">
        <f aca="false">Catalog!P9</f>
        <v>Y</v>
      </c>
      <c r="F9" s="20" t="str">
        <f aca="false">Catalog!Q9</f>
        <v>Y</v>
      </c>
      <c r="G9" s="20" t="str">
        <f aca="false">Catalog!R9</f>
        <v>Y</v>
      </c>
    </row>
    <row r="10" customFormat="false" ht="15" hidden="false" customHeight="true" outlineLevel="0" collapsed="false">
      <c r="A10" s="7" t="str">
        <f aca="false">Catalog!A10</f>
        <v>OPP-009</v>
      </c>
      <c r="B10" s="7" t="str">
        <f aca="false">Catalog!D10</f>
        <v>Restrict spend to high-conversion hours/days</v>
      </c>
      <c r="C10" s="7" t="str">
        <f aca="false">Catalog!B10</f>
        <v>Tactical</v>
      </c>
      <c r="D10" s="20" t="str">
        <f aca="false">Catalog!O10</f>
        <v>Y</v>
      </c>
      <c r="E10" s="20" t="str">
        <f aca="false">Catalog!P10</f>
        <v>P</v>
      </c>
      <c r="F10" s="20" t="str">
        <f aca="false">Catalog!Q10</f>
        <v>Y</v>
      </c>
      <c r="G10" s="20" t="str">
        <f aca="false">Catalog!R10</f>
        <v>Y</v>
      </c>
    </row>
    <row r="11" customFormat="false" ht="15" hidden="false" customHeight="true" outlineLevel="0" collapsed="false">
      <c r="A11" s="7" t="str">
        <f aca="false">Catalog!A11</f>
        <v>OPP-010</v>
      </c>
      <c r="B11" s="7" t="str">
        <f aca="false">Catalog!D11</f>
        <v>Shift spend toward high-LTV geographies</v>
      </c>
      <c r="C11" s="7" t="str">
        <f aca="false">Catalog!B11</f>
        <v>Tactical</v>
      </c>
      <c r="D11" s="20" t="str">
        <f aca="false">Catalog!O11</f>
        <v>Y</v>
      </c>
      <c r="E11" s="20" t="str">
        <f aca="false">Catalog!P11</f>
        <v>Y</v>
      </c>
      <c r="F11" s="20" t="str">
        <f aca="false">Catalog!Q11</f>
        <v>Y</v>
      </c>
      <c r="G11" s="20" t="str">
        <f aca="false">Catalog!R11</f>
        <v>Y</v>
      </c>
    </row>
    <row r="12" customFormat="false" ht="15" hidden="false" customHeight="true" outlineLevel="0" collapsed="false">
      <c r="A12" s="7" t="str">
        <f aca="false">Catalog!A12</f>
        <v>OPP-011</v>
      </c>
      <c r="B12" s="7" t="str">
        <f aca="false">Catalog!D12</f>
        <v>A/B test landing page on high-traffic underperforming channel</v>
      </c>
      <c r="C12" s="7" t="str">
        <f aca="false">Catalog!B12</f>
        <v>Tactical</v>
      </c>
      <c r="D12" s="20" t="str">
        <f aca="false">Catalog!O12</f>
        <v>Y</v>
      </c>
      <c r="E12" s="20" t="str">
        <f aca="false">Catalog!P12</f>
        <v>Y</v>
      </c>
      <c r="F12" s="20" t="str">
        <f aca="false">Catalog!Q12</f>
        <v>Y</v>
      </c>
      <c r="G12" s="20" t="str">
        <f aca="false">Catalog!R12</f>
        <v>Y</v>
      </c>
    </row>
    <row r="13" customFormat="false" ht="15" hidden="false" customHeight="true" outlineLevel="0" collapsed="false">
      <c r="A13" s="7" t="str">
        <f aca="false">Catalog!A13</f>
        <v>OPP-012</v>
      </c>
      <c r="B13" s="7" t="str">
        <f aca="false">Catalog!D13</f>
        <v>Shift promo calendar to align with demand peaks</v>
      </c>
      <c r="C13" s="7" t="str">
        <f aca="false">Catalog!B13</f>
        <v>Tactical</v>
      </c>
      <c r="D13" s="20" t="str">
        <f aca="false">Catalog!O13</f>
        <v>Y</v>
      </c>
      <c r="E13" s="20" t="str">
        <f aca="false">Catalog!P13</f>
        <v>P</v>
      </c>
      <c r="F13" s="20" t="str">
        <f aca="false">Catalog!Q13</f>
        <v>Y</v>
      </c>
      <c r="G13" s="20" t="str">
        <f aca="false">Catalog!R13</f>
        <v>Y</v>
      </c>
    </row>
    <row r="14" customFormat="false" ht="15" hidden="false" customHeight="true" outlineLevel="0" collapsed="false">
      <c r="A14" s="7" t="str">
        <f aca="false">Catalog!A14</f>
        <v>OPP-013</v>
      </c>
      <c r="B14" s="7" t="str">
        <f aca="false">Catalog!D14</f>
        <v>Add high-intent keyword variants to converting campaigns</v>
      </c>
      <c r="C14" s="7" t="str">
        <f aca="false">Catalog!B14</f>
        <v>Tactical</v>
      </c>
      <c r="D14" s="20" t="str">
        <f aca="false">Catalog!O14</f>
        <v>Y</v>
      </c>
      <c r="E14" s="20" t="str">
        <f aca="false">Catalog!P14</f>
        <v>Y</v>
      </c>
      <c r="F14" s="20" t="str">
        <f aca="false">Catalog!Q14</f>
        <v>Y</v>
      </c>
      <c r="G14" s="20" t="str">
        <f aca="false">Catalog!R14</f>
        <v>Y</v>
      </c>
    </row>
    <row r="15" customFormat="false" ht="15" hidden="false" customHeight="true" outlineLevel="0" collapsed="false">
      <c r="A15" s="7" t="str">
        <f aca="false">Catalog!A15</f>
        <v>OPP-014</v>
      </c>
      <c r="B15" s="7" t="str">
        <f aca="false">Catalog!D15</f>
        <v>Remove zero-conversion keywords from active campaigns</v>
      </c>
      <c r="C15" s="7" t="str">
        <f aca="false">Catalog!B15</f>
        <v>Tactical</v>
      </c>
      <c r="D15" s="20" t="str">
        <f aca="false">Catalog!O15</f>
        <v>Y</v>
      </c>
      <c r="E15" s="20" t="str">
        <f aca="false">Catalog!P15</f>
        <v>Y</v>
      </c>
      <c r="F15" s="20" t="str">
        <f aca="false">Catalog!Q15</f>
        <v>Y</v>
      </c>
      <c r="G15" s="20" t="str">
        <f aca="false">Catalog!R15</f>
        <v>Y</v>
      </c>
    </row>
    <row r="16" customFormat="false" ht="15" hidden="false" customHeight="true" outlineLevel="0" collapsed="false">
      <c r="A16" s="7" t="str">
        <f aca="false">Catalog!A16</f>
        <v>OPP-015</v>
      </c>
      <c r="B16" s="7" t="str">
        <f aca="false">Catalog!D16</f>
        <v>Add negative keywords to filter wasted impressions</v>
      </c>
      <c r="C16" s="7" t="str">
        <f aca="false">Catalog!B16</f>
        <v>Tactical</v>
      </c>
      <c r="D16" s="20" t="str">
        <f aca="false">Catalog!O16</f>
        <v>Y</v>
      </c>
      <c r="E16" s="20" t="str">
        <f aca="false">Catalog!P16</f>
        <v>Y</v>
      </c>
      <c r="F16" s="20" t="str">
        <f aca="false">Catalog!Q16</f>
        <v>Y</v>
      </c>
      <c r="G16" s="20" t="str">
        <f aca="false">Catalog!R16</f>
        <v>Y</v>
      </c>
    </row>
    <row r="17" customFormat="false" ht="15" hidden="false" customHeight="true" outlineLevel="0" collapsed="false">
      <c r="A17" s="7" t="str">
        <f aca="false">Catalog!A17</f>
        <v>OPP-016</v>
      </c>
      <c r="B17" s="7" t="str">
        <f aca="false">Catalog!D17</f>
        <v>Pre-load spend ahead of forecasted demand peak</v>
      </c>
      <c r="C17" s="7" t="str">
        <f aca="false">Catalog!B17</f>
        <v>Tactical</v>
      </c>
      <c r="D17" s="20" t="str">
        <f aca="false">Catalog!O17</f>
        <v>Y</v>
      </c>
      <c r="E17" s="20" t="str">
        <f aca="false">Catalog!P17</f>
        <v>P</v>
      </c>
      <c r="F17" s="20" t="str">
        <f aca="false">Catalog!Q17</f>
        <v>Y</v>
      </c>
      <c r="G17" s="20" t="str">
        <f aca="false">Catalog!R17</f>
        <v>Y</v>
      </c>
    </row>
    <row r="18" customFormat="false" ht="15" hidden="false" customHeight="true" outlineLevel="0" collapsed="false">
      <c r="A18" s="7" t="str">
        <f aca="false">Catalog!A18</f>
        <v>OPP-017</v>
      </c>
      <c r="B18" s="7" t="str">
        <f aca="false">Catalog!D18</f>
        <v>Consolidate fragmented campaigns into structured set</v>
      </c>
      <c r="C18" s="7" t="str">
        <f aca="false">Catalog!B18</f>
        <v>Tactical</v>
      </c>
      <c r="D18" s="20" t="str">
        <f aca="false">Catalog!O18</f>
        <v>Y</v>
      </c>
      <c r="E18" s="20" t="str">
        <f aca="false">Catalog!P18</f>
        <v>Y</v>
      </c>
      <c r="F18" s="20" t="str">
        <f aca="false">Catalog!Q18</f>
        <v>Y</v>
      </c>
      <c r="G18" s="20" t="str">
        <f aca="false">Catalog!R18</f>
        <v>Y</v>
      </c>
    </row>
    <row r="19" customFormat="false" ht="15" hidden="false" customHeight="true" outlineLevel="0" collapsed="false">
      <c r="A19" s="7" t="str">
        <f aca="false">Catalog!A19</f>
        <v>OPP-018</v>
      </c>
      <c r="B19" s="7" t="str">
        <f aca="false">Catalog!D19</f>
        <v>Switch optimization event to higher-quality signal</v>
      </c>
      <c r="C19" s="7" t="str">
        <f aca="false">Catalog!B19</f>
        <v>Tactical</v>
      </c>
      <c r="D19" s="20" t="str">
        <f aca="false">Catalog!O19</f>
        <v>Y</v>
      </c>
      <c r="E19" s="20" t="str">
        <f aca="false">Catalog!P19</f>
        <v>Y</v>
      </c>
      <c r="F19" s="20" t="str">
        <f aca="false">Catalog!Q19</f>
        <v>Y</v>
      </c>
      <c r="G19" s="20" t="str">
        <f aca="false">Catalog!R19</f>
        <v>Y</v>
      </c>
    </row>
    <row r="20" customFormat="false" ht="15" hidden="false" customHeight="true" outlineLevel="0" collapsed="false">
      <c r="A20" s="7" t="str">
        <f aca="false">Catalog!A20</f>
        <v>OPP-019</v>
      </c>
      <c r="B20" s="7" t="str">
        <f aca="false">Catalog!D20</f>
        <v>Exclude converted customers from prospecting audiences</v>
      </c>
      <c r="C20" s="7" t="str">
        <f aca="false">Catalog!B20</f>
        <v>Tactical</v>
      </c>
      <c r="D20" s="20" t="str">
        <f aca="false">Catalog!O20</f>
        <v>Y</v>
      </c>
      <c r="E20" s="20" t="str">
        <f aca="false">Catalog!P20</f>
        <v>Y</v>
      </c>
      <c r="F20" s="20" t="str">
        <f aca="false">Catalog!Q20</f>
        <v>Y</v>
      </c>
      <c r="G20" s="20" t="str">
        <f aca="false">Catalog!R20</f>
        <v>Y</v>
      </c>
    </row>
    <row r="21" customFormat="false" ht="15" hidden="false" customHeight="true" outlineLevel="0" collapsed="false">
      <c r="A21" s="7" t="str">
        <f aca="false">Catalog!A21</f>
        <v>OPP-020</v>
      </c>
      <c r="B21" s="7" t="str">
        <f aca="false">Catalog!D21</f>
        <v>Apply device/audience/time bid modifiers to align with value</v>
      </c>
      <c r="C21" s="7" t="str">
        <f aca="false">Catalog!B21</f>
        <v>Tactical</v>
      </c>
      <c r="D21" s="20" t="str">
        <f aca="false">Catalog!O21</f>
        <v>Y</v>
      </c>
      <c r="E21" s="20" t="str">
        <f aca="false">Catalog!P21</f>
        <v>Y</v>
      </c>
      <c r="F21" s="20" t="str">
        <f aca="false">Catalog!Q21</f>
        <v>Y</v>
      </c>
      <c r="G21" s="20" t="str">
        <f aca="false">Catalog!R21</f>
        <v>Y</v>
      </c>
    </row>
    <row r="22" customFormat="false" ht="15" hidden="false" customHeight="true" outlineLevel="0" collapsed="false">
      <c r="A22" s="7" t="str">
        <f aca="false">Catalog!A22</f>
        <v>OPP-021</v>
      </c>
      <c r="B22" s="7" t="str">
        <f aca="false">Catalog!D22</f>
        <v>Launch CTV/streaming TV testing on Hulu/Roku/Pluto</v>
      </c>
      <c r="C22" s="7" t="str">
        <f aca="false">Catalog!B22</f>
        <v>Strategic-Channel</v>
      </c>
      <c r="D22" s="20" t="str">
        <f aca="false">Catalog!O22</f>
        <v>Y</v>
      </c>
      <c r="E22" s="20" t="str">
        <f aca="false">Catalog!P22</f>
        <v>P</v>
      </c>
      <c r="F22" s="20" t="str">
        <f aca="false">Catalog!Q22</f>
        <v>Y</v>
      </c>
      <c r="G22" s="20" t="str">
        <f aca="false">Catalog!R22</f>
        <v>P</v>
      </c>
    </row>
    <row r="23" customFormat="false" ht="15" hidden="false" customHeight="true" outlineLevel="0" collapsed="false">
      <c r="A23" s="7" t="str">
        <f aca="false">Catalog!A23</f>
        <v>OPP-022</v>
      </c>
      <c r="B23" s="7" t="str">
        <f aca="false">Catalog!D23</f>
        <v>Add Reddit advertising for community-engaged audiences</v>
      </c>
      <c r="C23" s="7" t="str">
        <f aca="false">Catalog!B23</f>
        <v>Strategic-Channel</v>
      </c>
      <c r="D23" s="20" t="str">
        <f aca="false">Catalog!O23</f>
        <v>P</v>
      </c>
      <c r="E23" s="20" t="str">
        <f aca="false">Catalog!P23</f>
        <v>Y</v>
      </c>
      <c r="F23" s="20" t="str">
        <f aca="false">Catalog!Q23</f>
        <v>Y</v>
      </c>
      <c r="G23" s="20" t="str">
        <f aca="false">Catalog!R23</f>
        <v>P</v>
      </c>
    </row>
    <row r="24" customFormat="false" ht="15" hidden="false" customHeight="true" outlineLevel="0" collapsed="false">
      <c r="A24" s="7" t="str">
        <f aca="false">Catalog!A24</f>
        <v>OPP-023</v>
      </c>
      <c r="B24" s="7" t="str">
        <f aca="false">Catalog!D24</f>
        <v>Launch TikTok creator partnerships and paid</v>
      </c>
      <c r="C24" s="7" t="str">
        <f aca="false">Catalog!B24</f>
        <v>Strategic-Channel</v>
      </c>
      <c r="D24" s="20" t="str">
        <f aca="false">Catalog!O24</f>
        <v>Y</v>
      </c>
      <c r="E24" s="20" t="str">
        <f aca="false">Catalog!P24</f>
        <v>P</v>
      </c>
      <c r="F24" s="20" t="str">
        <f aca="false">Catalog!Q24</f>
        <v>Y</v>
      </c>
      <c r="G24" s="20" t="str">
        <f aca="false">Catalog!R24</f>
        <v>P</v>
      </c>
    </row>
    <row r="25" customFormat="false" ht="15" hidden="false" customHeight="true" outlineLevel="0" collapsed="false">
      <c r="A25" s="7" t="str">
        <f aca="false">Catalog!A25</f>
        <v>OPP-024</v>
      </c>
      <c r="B25" s="7" t="str">
        <f aca="false">Catalog!D25</f>
        <v>Add podcast advertising for trust-building reach</v>
      </c>
      <c r="C25" s="7" t="str">
        <f aca="false">Catalog!B25</f>
        <v>Strategic-Channel</v>
      </c>
      <c r="D25" s="20" t="str">
        <f aca="false">Catalog!O25</f>
        <v>Y</v>
      </c>
      <c r="E25" s="20" t="str">
        <f aca="false">Catalog!P25</f>
        <v>Y</v>
      </c>
      <c r="F25" s="20" t="str">
        <f aca="false">Catalog!Q25</f>
        <v>Y</v>
      </c>
      <c r="G25" s="20" t="str">
        <f aca="false">Catalog!R25</f>
        <v>Y</v>
      </c>
    </row>
    <row r="26" customFormat="false" ht="15" hidden="false" customHeight="true" outlineLevel="0" collapsed="false">
      <c r="A26" s="7" t="str">
        <f aca="false">Catalog!A26</f>
        <v>OPP-025</v>
      </c>
      <c r="B26" s="7" t="str">
        <f aca="false">Catalog!D26</f>
        <v>Add OOH/DOOH in high-density target markets</v>
      </c>
      <c r="C26" s="7" t="str">
        <f aca="false">Catalog!B26</f>
        <v>Strategic-Channel</v>
      </c>
      <c r="D26" s="20" t="str">
        <f aca="false">Catalog!O26</f>
        <v>Y</v>
      </c>
      <c r="E26" s="20" t="str">
        <f aca="false">Catalog!P26</f>
        <v>Y</v>
      </c>
      <c r="F26" s="20" t="str">
        <f aca="false">Catalog!Q26</f>
        <v>Y</v>
      </c>
      <c r="G26" s="20" t="str">
        <f aca="false">Catalog!R26</f>
        <v>Y</v>
      </c>
    </row>
    <row r="27" customFormat="false" ht="15" hidden="false" customHeight="true" outlineLevel="0" collapsed="false">
      <c r="A27" s="7" t="str">
        <f aca="false">Catalog!A27</f>
        <v>OPP-026</v>
      </c>
      <c r="B27" s="7" t="str">
        <f aca="false">Catalog!D27</f>
        <v>Launch Pinterest for visual/lifestyle categories</v>
      </c>
      <c r="C27" s="7" t="str">
        <f aca="false">Catalog!B27</f>
        <v>Strategic-Channel</v>
      </c>
      <c r="D27" s="20" t="str">
        <f aca="false">Catalog!O27</f>
        <v>Y</v>
      </c>
      <c r="E27" s="20" t="str">
        <f aca="false">Catalog!P27</f>
        <v>P</v>
      </c>
      <c r="F27" s="20" t="str">
        <f aca="false">Catalog!Q27</f>
        <v>Y</v>
      </c>
      <c r="G27" s="20" t="str">
        <f aca="false">Catalog!R27</f>
        <v>N</v>
      </c>
    </row>
    <row r="28" customFormat="false" ht="15" hidden="false" customHeight="true" outlineLevel="0" collapsed="false">
      <c r="A28" s="7" t="str">
        <f aca="false">Catalog!A28</f>
        <v>OPP-027</v>
      </c>
      <c r="B28" s="7" t="str">
        <f aca="false">Catalog!D28</f>
        <v>Open international markets where organic demand exists</v>
      </c>
      <c r="C28" s="7" t="str">
        <f aca="false">Catalog!B28</f>
        <v>Strategic-Channel</v>
      </c>
      <c r="D28" s="20" t="str">
        <f aca="false">Catalog!O28</f>
        <v>Y</v>
      </c>
      <c r="E28" s="20" t="str">
        <f aca="false">Catalog!P28</f>
        <v>Y</v>
      </c>
      <c r="F28" s="20" t="str">
        <f aca="false">Catalog!Q28</f>
        <v>Y</v>
      </c>
      <c r="G28" s="20" t="str">
        <f aca="false">Catalog!R28</f>
        <v>P</v>
      </c>
    </row>
    <row r="29" customFormat="false" ht="15" hidden="false" customHeight="true" outlineLevel="0" collapsed="false">
      <c r="A29" s="7" t="str">
        <f aca="false">Catalog!A29</f>
        <v>OPP-028</v>
      </c>
      <c r="B29" s="7" t="str">
        <f aca="false">Catalog!D29</f>
        <v>Open new customer segment (B2B / SMB / Enterprise)</v>
      </c>
      <c r="C29" s="7" t="str">
        <f aca="false">Catalog!B29</f>
        <v>Strategic-Channel</v>
      </c>
      <c r="D29" s="20" t="str">
        <f aca="false">Catalog!O29</f>
        <v>Y</v>
      </c>
      <c r="E29" s="20" t="str">
        <f aca="false">Catalog!P29</f>
        <v>Y</v>
      </c>
      <c r="F29" s="20" t="str">
        <f aca="false">Catalog!Q29</f>
        <v>P</v>
      </c>
      <c r="G29" s="20" t="str">
        <f aca="false">Catalog!R29</f>
        <v>Y</v>
      </c>
    </row>
    <row r="30" customFormat="false" ht="15" hidden="false" customHeight="true" outlineLevel="0" collapsed="false">
      <c r="A30" s="7" t="str">
        <f aca="false">Catalog!A30</f>
        <v>OPP-029</v>
      </c>
      <c r="B30" s="7" t="str">
        <f aca="false">Catalog!D30</f>
        <v>Launch newsletter/content engine for owned audience growth</v>
      </c>
      <c r="C30" s="7" t="str">
        <f aca="false">Catalog!B30</f>
        <v>Strategic-Channel</v>
      </c>
      <c r="D30" s="20" t="str">
        <f aca="false">Catalog!O30</f>
        <v>Y</v>
      </c>
      <c r="E30" s="20" t="str">
        <f aca="false">Catalog!P30</f>
        <v>Y</v>
      </c>
      <c r="F30" s="20" t="str">
        <f aca="false">Catalog!Q30</f>
        <v>Y</v>
      </c>
      <c r="G30" s="20" t="str">
        <f aca="false">Catalog!R30</f>
        <v>Y</v>
      </c>
    </row>
    <row r="31" customFormat="false" ht="15" hidden="false" customHeight="true" outlineLevel="0" collapsed="false">
      <c r="A31" s="7" t="str">
        <f aca="false">Catalog!A31</f>
        <v>OPP-030</v>
      </c>
      <c r="B31" s="7" t="str">
        <f aca="false">Catalog!D31</f>
        <v>Launch branded podcast or YouTube channel</v>
      </c>
      <c r="C31" s="7" t="str">
        <f aca="false">Catalog!B31</f>
        <v>Strategic-Channel</v>
      </c>
      <c r="D31" s="20" t="str">
        <f aca="false">Catalog!O31</f>
        <v>Y</v>
      </c>
      <c r="E31" s="20" t="str">
        <f aca="false">Catalog!P31</f>
        <v>Y</v>
      </c>
      <c r="F31" s="20" t="str">
        <f aca="false">Catalog!Q31</f>
        <v>Y</v>
      </c>
      <c r="G31" s="20" t="str">
        <f aca="false">Catalog!R31</f>
        <v>Y</v>
      </c>
    </row>
    <row r="32" customFormat="false" ht="15" hidden="false" customHeight="true" outlineLevel="0" collapsed="false">
      <c r="A32" s="7" t="str">
        <f aca="false">Catalog!A32</f>
        <v>OPP-031</v>
      </c>
      <c r="B32" s="7" t="str">
        <f aca="false">Catalog!D32</f>
        <v>Build affiliate/partner program</v>
      </c>
      <c r="C32" s="7" t="str">
        <f aca="false">Catalog!B32</f>
        <v>Strategic-Channel</v>
      </c>
      <c r="D32" s="20" t="str">
        <f aca="false">Catalog!O32</f>
        <v>Y</v>
      </c>
      <c r="E32" s="20" t="str">
        <f aca="false">Catalog!P32</f>
        <v>Y</v>
      </c>
      <c r="F32" s="20" t="str">
        <f aca="false">Catalog!Q32</f>
        <v>Y</v>
      </c>
      <c r="G32" s="20" t="str">
        <f aca="false">Catalog!R32</f>
        <v>Y</v>
      </c>
    </row>
    <row r="33" customFormat="false" ht="15" hidden="false" customHeight="true" outlineLevel="0" collapsed="false">
      <c r="A33" s="7" t="str">
        <f aca="false">Catalog!A33</f>
        <v>OPP-032</v>
      </c>
      <c r="B33" s="7" t="str">
        <f aca="false">Catalog!D33</f>
        <v>Launch creator/influencer program</v>
      </c>
      <c r="C33" s="7" t="str">
        <f aca="false">Catalog!B33</f>
        <v>Strategic-Channel</v>
      </c>
      <c r="D33" s="20" t="str">
        <f aca="false">Catalog!O33</f>
        <v>Y</v>
      </c>
      <c r="E33" s="20" t="str">
        <f aca="false">Catalog!P33</f>
        <v>P</v>
      </c>
      <c r="F33" s="20" t="str">
        <f aca="false">Catalog!Q33</f>
        <v>Y</v>
      </c>
      <c r="G33" s="20" t="str">
        <f aca="false">Catalog!R33</f>
        <v>P</v>
      </c>
    </row>
    <row r="34" customFormat="false" ht="15" hidden="false" customHeight="true" outlineLevel="0" collapsed="false">
      <c r="A34" s="7" t="str">
        <f aca="false">Catalog!A34</f>
        <v>OPP-033</v>
      </c>
      <c r="B34" s="7" t="str">
        <f aca="false">Catalog!D34</f>
        <v>Activate co-marketing with complementary brand</v>
      </c>
      <c r="C34" s="7" t="str">
        <f aca="false">Catalog!B34</f>
        <v>Strategic-Channel</v>
      </c>
      <c r="D34" s="20" t="str">
        <f aca="false">Catalog!O34</f>
        <v>Y</v>
      </c>
      <c r="E34" s="20" t="str">
        <f aca="false">Catalog!P34</f>
        <v>Y</v>
      </c>
      <c r="F34" s="20" t="str">
        <f aca="false">Catalog!Q34</f>
        <v>Y</v>
      </c>
      <c r="G34" s="20" t="str">
        <f aca="false">Catalog!R34</f>
        <v>Y</v>
      </c>
    </row>
    <row r="35" customFormat="false" ht="15" hidden="false" customHeight="true" outlineLevel="0" collapsed="false">
      <c r="A35" s="7" t="str">
        <f aca="false">Catalog!A35</f>
        <v>OPP-034</v>
      </c>
      <c r="B35" s="7" t="str">
        <f aca="false">Catalog!D35</f>
        <v>Add niche B2B/vertical publication advertising</v>
      </c>
      <c r="C35" s="7" t="str">
        <f aca="false">Catalog!B35</f>
        <v>Strategic-Channel</v>
      </c>
      <c r="D35" s="20" t="str">
        <f aca="false">Catalog!O35</f>
        <v>P</v>
      </c>
      <c r="E35" s="20" t="str">
        <f aca="false">Catalog!P35</f>
        <v>Y</v>
      </c>
      <c r="F35" s="20" t="str">
        <f aca="false">Catalog!Q35</f>
        <v>P</v>
      </c>
      <c r="G35" s="20" t="str">
        <f aca="false">Catalog!R35</f>
        <v>Y</v>
      </c>
    </row>
    <row r="36" customFormat="false" ht="15" hidden="false" customHeight="true" outlineLevel="0" collapsed="false">
      <c r="A36" s="7" t="str">
        <f aca="false">Catalog!A36</f>
        <v>OPP-035</v>
      </c>
      <c r="B36" s="7" t="str">
        <f aca="false">Catalog!D36</f>
        <v>Launch native/content distribution</v>
      </c>
      <c r="C36" s="7" t="str">
        <f aca="false">Catalog!B36</f>
        <v>Strategic-Channel</v>
      </c>
      <c r="D36" s="20" t="str">
        <f aca="false">Catalog!O36</f>
        <v>Y</v>
      </c>
      <c r="E36" s="20" t="str">
        <f aca="false">Catalog!P36</f>
        <v>Y</v>
      </c>
      <c r="F36" s="20" t="str">
        <f aca="false">Catalog!Q36</f>
        <v>Y</v>
      </c>
      <c r="G36" s="20" t="str">
        <f aca="false">Catalog!R36</f>
        <v>Y</v>
      </c>
    </row>
    <row r="37" customFormat="false" ht="15" hidden="false" customHeight="true" outlineLevel="0" collapsed="false">
      <c r="A37" s="7" t="str">
        <f aca="false">Catalog!A37</f>
        <v>OPP-036</v>
      </c>
      <c r="B37" s="7" t="str">
        <f aca="false">Catalog!D37</f>
        <v>Build in-house creative team for paid social</v>
      </c>
      <c r="C37" s="7" t="str">
        <f aca="false">Catalog!B37</f>
        <v>Strategic-Capability</v>
      </c>
      <c r="D37" s="20" t="str">
        <f aca="false">Catalog!O37</f>
        <v>Y</v>
      </c>
      <c r="E37" s="20" t="str">
        <f aca="false">Catalog!P37</f>
        <v>Y</v>
      </c>
      <c r="F37" s="20" t="str">
        <f aca="false">Catalog!Q37</f>
        <v>Y</v>
      </c>
      <c r="G37" s="20" t="str">
        <f aca="false">Catalog!R37</f>
        <v>Y</v>
      </c>
    </row>
    <row r="38" customFormat="false" ht="15" hidden="false" customHeight="true" outlineLevel="0" collapsed="false">
      <c r="A38" s="7" t="str">
        <f aca="false">Catalog!A38</f>
        <v>OPP-037</v>
      </c>
      <c r="B38" s="7" t="str">
        <f aca="false">Catalog!D38</f>
        <v>Bring media buying in-house</v>
      </c>
      <c r="C38" s="7" t="str">
        <f aca="false">Catalog!B38</f>
        <v>Strategic-Capability</v>
      </c>
      <c r="D38" s="20" t="str">
        <f aca="false">Catalog!O38</f>
        <v>Y</v>
      </c>
      <c r="E38" s="20" t="str">
        <f aca="false">Catalog!P38</f>
        <v>Y</v>
      </c>
      <c r="F38" s="20" t="str">
        <f aca="false">Catalog!Q38</f>
        <v>Y</v>
      </c>
      <c r="G38" s="20" t="str">
        <f aca="false">Catalog!R38</f>
        <v>Y</v>
      </c>
    </row>
    <row r="39" customFormat="false" ht="15" hidden="false" customHeight="true" outlineLevel="0" collapsed="false">
      <c r="A39" s="7" t="str">
        <f aca="false">Catalog!A39</f>
        <v>OPP-038</v>
      </c>
      <c r="B39" s="7" t="str">
        <f aca="false">Catalog!D39</f>
        <v>Build in-house analytics/MMM team</v>
      </c>
      <c r="C39" s="7" t="str">
        <f aca="false">Catalog!B39</f>
        <v>Strategic-Capability</v>
      </c>
      <c r="D39" s="20" t="str">
        <f aca="false">Catalog!O39</f>
        <v>Y</v>
      </c>
      <c r="E39" s="20" t="str">
        <f aca="false">Catalog!P39</f>
        <v>Y</v>
      </c>
      <c r="F39" s="20" t="str">
        <f aca="false">Catalog!Q39</f>
        <v>P</v>
      </c>
      <c r="G39" s="20" t="str">
        <f aca="false">Catalog!R39</f>
        <v>P</v>
      </c>
    </row>
    <row r="40" customFormat="false" ht="15" hidden="false" customHeight="true" outlineLevel="0" collapsed="false">
      <c r="A40" s="7" t="str">
        <f aca="false">Catalog!A40</f>
        <v>OPP-039</v>
      </c>
      <c r="B40" s="7" t="str">
        <f aca="false">Catalog!D40</f>
        <v>Implement Customer Data Platform (CDP)</v>
      </c>
      <c r="C40" s="7" t="str">
        <f aca="false">Catalog!B40</f>
        <v>Strategic-Capability</v>
      </c>
      <c r="D40" s="20" t="str">
        <f aca="false">Catalog!O40</f>
        <v>Y</v>
      </c>
      <c r="E40" s="20" t="str">
        <f aca="false">Catalog!P40</f>
        <v>Y</v>
      </c>
      <c r="F40" s="20" t="str">
        <f aca="false">Catalog!Q40</f>
        <v>Y</v>
      </c>
      <c r="G40" s="20" t="str">
        <f aca="false">Catalog!R40</f>
        <v>Y</v>
      </c>
    </row>
    <row r="41" customFormat="false" ht="15" hidden="false" customHeight="true" outlineLevel="0" collapsed="false">
      <c r="A41" s="7" t="str">
        <f aca="false">Catalog!A41</f>
        <v>OPP-040</v>
      </c>
      <c r="B41" s="7" t="str">
        <f aca="false">Catalog!D41</f>
        <v>Implement attribution platform</v>
      </c>
      <c r="C41" s="7" t="str">
        <f aca="false">Catalog!B41</f>
        <v>Strategic-Capability</v>
      </c>
      <c r="D41" s="20" t="str">
        <f aca="false">Catalog!O41</f>
        <v>Y</v>
      </c>
      <c r="E41" s="20" t="str">
        <f aca="false">Catalog!P41</f>
        <v>Y</v>
      </c>
      <c r="F41" s="20" t="str">
        <f aca="false">Catalog!Q41</f>
        <v>Y</v>
      </c>
      <c r="G41" s="20" t="str">
        <f aca="false">Catalog!R41</f>
        <v>P</v>
      </c>
    </row>
    <row r="42" customFormat="false" ht="15" hidden="false" customHeight="true" outlineLevel="0" collapsed="false">
      <c r="A42" s="7" t="str">
        <f aca="false">Catalog!A42</f>
        <v>OPP-041</v>
      </c>
      <c r="B42" s="7" t="str">
        <f aca="false">Catalog!D42</f>
        <v>Implement creative automation platform</v>
      </c>
      <c r="C42" s="7" t="str">
        <f aca="false">Catalog!B42</f>
        <v>Strategic-Capability</v>
      </c>
      <c r="D42" s="20" t="str">
        <f aca="false">Catalog!O42</f>
        <v>Y</v>
      </c>
      <c r="E42" s="20" t="str">
        <f aca="false">Catalog!P42</f>
        <v>Y</v>
      </c>
      <c r="F42" s="20" t="str">
        <f aca="false">Catalog!Q42</f>
        <v>Y</v>
      </c>
      <c r="G42" s="20" t="str">
        <f aca="false">Catalog!R42</f>
        <v>Y</v>
      </c>
    </row>
    <row r="43" customFormat="false" ht="15" hidden="false" customHeight="true" outlineLevel="0" collapsed="false">
      <c r="A43" s="7" t="str">
        <f aca="false">Catalog!A43</f>
        <v>OPP-042</v>
      </c>
      <c r="B43" s="7" t="str">
        <f aca="false">Catalog!D43</f>
        <v>Implement personalization layer (web/email)</v>
      </c>
      <c r="C43" s="7" t="str">
        <f aca="false">Catalog!B43</f>
        <v>Strategic-Capability</v>
      </c>
      <c r="D43" s="20" t="str">
        <f aca="false">Catalog!O43</f>
        <v>Y</v>
      </c>
      <c r="E43" s="20" t="str">
        <f aca="false">Catalog!P43</f>
        <v>Y</v>
      </c>
      <c r="F43" s="20" t="str">
        <f aca="false">Catalog!Q43</f>
        <v>Y</v>
      </c>
      <c r="G43" s="20" t="str">
        <f aca="false">Catalog!R43</f>
        <v>Y</v>
      </c>
    </row>
    <row r="44" customFormat="false" ht="15" hidden="false" customHeight="true" outlineLevel="0" collapsed="false">
      <c r="A44" s="7" t="str">
        <f aca="false">Catalog!A44</f>
        <v>OPP-043</v>
      </c>
      <c r="B44" s="7" t="str">
        <f aca="false">Catalog!D44</f>
        <v>Consolidate measurement stack (single attribution source)</v>
      </c>
      <c r="C44" s="7" t="str">
        <f aca="false">Catalog!B44</f>
        <v>Strategic-Capability</v>
      </c>
      <c r="D44" s="20" t="str">
        <f aca="false">Catalog!O44</f>
        <v>Y</v>
      </c>
      <c r="E44" s="20" t="str">
        <f aca="false">Catalog!P44</f>
        <v>Y</v>
      </c>
      <c r="F44" s="20" t="str">
        <f aca="false">Catalog!Q44</f>
        <v>Y</v>
      </c>
      <c r="G44" s="20" t="str">
        <f aca="false">Catalog!R44</f>
        <v>Y</v>
      </c>
    </row>
    <row r="45" customFormat="false" ht="15" hidden="false" customHeight="true" outlineLevel="0" collapsed="false">
      <c r="A45" s="7" t="str">
        <f aca="false">Catalog!A45</f>
        <v>OPP-044</v>
      </c>
      <c r="B45" s="7" t="str">
        <f aca="false">Catalog!D45</f>
        <v>Consolidate paid platforms under single agency or team</v>
      </c>
      <c r="C45" s="7" t="str">
        <f aca="false">Catalog!B45</f>
        <v>Strategic-Capability</v>
      </c>
      <c r="D45" s="20" t="str">
        <f aca="false">Catalog!O45</f>
        <v>Y</v>
      </c>
      <c r="E45" s="20" t="str">
        <f aca="false">Catalog!P45</f>
        <v>Y</v>
      </c>
      <c r="F45" s="20" t="str">
        <f aca="false">Catalog!Q45</f>
        <v>Y</v>
      </c>
      <c r="G45" s="20" t="str">
        <f aca="false">Catalog!R45</f>
        <v>Y</v>
      </c>
    </row>
    <row r="46" customFormat="false" ht="15" hidden="false" customHeight="true" outlineLevel="0" collapsed="false">
      <c r="A46" s="7" t="str">
        <f aca="false">Catalog!A46</f>
        <v>OPP-045</v>
      </c>
      <c r="B46" s="7" t="str">
        <f aca="false">Catalog!D46</f>
        <v>Hire dedicated Growth Marketing leader</v>
      </c>
      <c r="C46" s="7" t="str">
        <f aca="false">Catalog!B46</f>
        <v>Strategic-Capability</v>
      </c>
      <c r="D46" s="20" t="str">
        <f aca="false">Catalog!O46</f>
        <v>Y</v>
      </c>
      <c r="E46" s="20" t="str">
        <f aca="false">Catalog!P46</f>
        <v>Y</v>
      </c>
      <c r="F46" s="20" t="str">
        <f aca="false">Catalog!Q46</f>
        <v>Y</v>
      </c>
      <c r="G46" s="20" t="str">
        <f aca="false">Catalog!R46</f>
        <v>Y</v>
      </c>
    </row>
    <row r="47" customFormat="false" ht="15" hidden="false" customHeight="true" outlineLevel="0" collapsed="false">
      <c r="A47" s="7" t="str">
        <f aca="false">Catalog!A47</f>
        <v>OPP-046</v>
      </c>
      <c r="B47" s="7" t="str">
        <f aca="false">Catalog!D47</f>
        <v>Build data engineering function for marketing</v>
      </c>
      <c r="C47" s="7" t="str">
        <f aca="false">Catalog!B47</f>
        <v>Strategic-Capability</v>
      </c>
      <c r="D47" s="20" t="str">
        <f aca="false">Catalog!O47</f>
        <v>Y</v>
      </c>
      <c r="E47" s="20" t="str">
        <f aca="false">Catalog!P47</f>
        <v>Y</v>
      </c>
      <c r="F47" s="20" t="str">
        <f aca="false">Catalog!Q47</f>
        <v>Y</v>
      </c>
      <c r="G47" s="20" t="str">
        <f aca="false">Catalog!R47</f>
        <v>P</v>
      </c>
    </row>
    <row r="48" customFormat="false" ht="15" hidden="false" customHeight="true" outlineLevel="0" collapsed="false">
      <c r="A48" s="7" t="str">
        <f aca="false">Catalog!A48</f>
        <v>OPP-047</v>
      </c>
      <c r="B48" s="7" t="str">
        <f aca="false">Catalog!D48</f>
        <v>Implement structured testing program</v>
      </c>
      <c r="C48" s="7" t="str">
        <f aca="false">Catalog!B48</f>
        <v>Strategic-Capability</v>
      </c>
      <c r="D48" s="20" t="str">
        <f aca="false">Catalog!O48</f>
        <v>Y</v>
      </c>
      <c r="E48" s="20" t="str">
        <f aca="false">Catalog!P48</f>
        <v>Y</v>
      </c>
      <c r="F48" s="20" t="str">
        <f aca="false">Catalog!Q48</f>
        <v>Y</v>
      </c>
      <c r="G48" s="20" t="str">
        <f aca="false">Catalog!R48</f>
        <v>Y</v>
      </c>
    </row>
    <row r="49" customFormat="false" ht="15" hidden="false" customHeight="true" outlineLevel="0" collapsed="false">
      <c r="A49" s="7" t="str">
        <f aca="false">Catalog!A49</f>
        <v>OPP-048</v>
      </c>
      <c r="B49" s="7" t="str">
        <f aca="false">Catalog!D49</f>
        <v>Restructure creative briefing process</v>
      </c>
      <c r="C49" s="7" t="str">
        <f aca="false">Catalog!B49</f>
        <v>Strategic-Capability</v>
      </c>
      <c r="D49" s="20" t="str">
        <f aca="false">Catalog!O49</f>
        <v>Y</v>
      </c>
      <c r="E49" s="20" t="str">
        <f aca="false">Catalog!P49</f>
        <v>Y</v>
      </c>
      <c r="F49" s="20" t="str">
        <f aca="false">Catalog!Q49</f>
        <v>Y</v>
      </c>
      <c r="G49" s="20" t="str">
        <f aca="false">Catalog!R49</f>
        <v>Y</v>
      </c>
    </row>
    <row r="50" customFormat="false" ht="15" hidden="false" customHeight="true" outlineLevel="0" collapsed="false">
      <c r="A50" s="7" t="str">
        <f aca="false">Catalog!A50</f>
        <v>OPP-049</v>
      </c>
      <c r="B50" s="7" t="str">
        <f aca="false">Catalog!D50</f>
        <v>Implement server-side tagging (CAPI + sGTM)</v>
      </c>
      <c r="C50" s="7" t="str">
        <f aca="false">Catalog!B50</f>
        <v>Strategic-Capability</v>
      </c>
      <c r="D50" s="20" t="str">
        <f aca="false">Catalog!O50</f>
        <v>Y</v>
      </c>
      <c r="E50" s="20" t="str">
        <f aca="false">Catalog!P50</f>
        <v>Y</v>
      </c>
      <c r="F50" s="20" t="str">
        <f aca="false">Catalog!Q50</f>
        <v>Y</v>
      </c>
      <c r="G50" s="20" t="str">
        <f aca="false">Catalog!R50</f>
        <v>Y</v>
      </c>
    </row>
    <row r="51" customFormat="false" ht="15" hidden="false" customHeight="true" outlineLevel="0" collapsed="false">
      <c r="A51" s="7" t="str">
        <f aca="false">Catalog!A51</f>
        <v>OPP-050</v>
      </c>
      <c r="B51" s="7" t="str">
        <f aca="false">Catalog!D51</f>
        <v>Implement identity resolution / customer 360</v>
      </c>
      <c r="C51" s="7" t="str">
        <f aca="false">Catalog!B51</f>
        <v>Strategic-Capability</v>
      </c>
      <c r="D51" s="20" t="str">
        <f aca="false">Catalog!O51</f>
        <v>Y</v>
      </c>
      <c r="E51" s="20" t="str">
        <f aca="false">Catalog!P51</f>
        <v>Y</v>
      </c>
      <c r="F51" s="20" t="str">
        <f aca="false">Catalog!Q51</f>
        <v>Y</v>
      </c>
      <c r="G51" s="20" t="str">
        <f aca="false">Catalog!R51</f>
        <v>Y</v>
      </c>
    </row>
    <row r="52" customFormat="false" ht="15" hidden="false" customHeight="true" outlineLevel="0" collapsed="false">
      <c r="A52" s="7" t="str">
        <f aca="false">Catalog!A52</f>
        <v>OPP-051</v>
      </c>
      <c r="B52" s="7" t="str">
        <f aca="false">Catalog!D52</f>
        <v>Build data warehouse / lakehouse for marketing data</v>
      </c>
      <c r="C52" s="7" t="str">
        <f aca="false">Catalog!B52</f>
        <v>Strategic-Capability</v>
      </c>
      <c r="D52" s="20" t="str">
        <f aca="false">Catalog!O52</f>
        <v>Y</v>
      </c>
      <c r="E52" s="20" t="str">
        <f aca="false">Catalog!P52</f>
        <v>Y</v>
      </c>
      <c r="F52" s="20" t="str">
        <f aca="false">Catalog!Q52</f>
        <v>P</v>
      </c>
      <c r="G52" s="20" t="str">
        <f aca="false">Catalog!R52</f>
        <v>P</v>
      </c>
    </row>
    <row r="53" customFormat="false" ht="23.25" hidden="false" customHeight="true" outlineLevel="0" collapsed="false">
      <c r="A53" s="7" t="str">
        <f aca="false">Catalog!A53</f>
        <v>OPP-052</v>
      </c>
      <c r="B53" s="7" t="str">
        <f aca="false">Catalog!D53</f>
        <v>Renegotiate media agency contract or move to performance fee</v>
      </c>
      <c r="C53" s="7" t="str">
        <f aca="false">Catalog!B53</f>
        <v>Strategic-Cost</v>
      </c>
      <c r="D53" s="20" t="str">
        <f aca="false">Catalog!O53</f>
        <v>Y</v>
      </c>
      <c r="E53" s="20" t="str">
        <f aca="false">Catalog!P53</f>
        <v>Y</v>
      </c>
      <c r="F53" s="20" t="str">
        <f aca="false">Catalog!Q53</f>
        <v>Y</v>
      </c>
      <c r="G53" s="20" t="str">
        <f aca="false">Catalog!R53</f>
        <v>Y</v>
      </c>
    </row>
    <row r="54" customFormat="false" ht="15" hidden="false" customHeight="true" outlineLevel="0" collapsed="false">
      <c r="A54" s="7" t="str">
        <f aca="false">Catalog!A54</f>
        <v>OPP-053</v>
      </c>
      <c r="B54" s="7" t="str">
        <f aca="false">Catalog!D54</f>
        <v>Replace underperforming agency</v>
      </c>
      <c r="C54" s="7" t="str">
        <f aca="false">Catalog!B54</f>
        <v>Strategic-Cost</v>
      </c>
      <c r="D54" s="20" t="str">
        <f aca="false">Catalog!O54</f>
        <v>Y</v>
      </c>
      <c r="E54" s="20" t="str">
        <f aca="false">Catalog!P54</f>
        <v>Y</v>
      </c>
      <c r="F54" s="20" t="str">
        <f aca="false">Catalog!Q54</f>
        <v>Y</v>
      </c>
      <c r="G54" s="20" t="str">
        <f aca="false">Catalog!R54</f>
        <v>Y</v>
      </c>
    </row>
    <row r="55" customFormat="false" ht="15" hidden="false" customHeight="true" outlineLevel="0" collapsed="false">
      <c r="A55" s="7" t="str">
        <f aca="false">Catalog!A55</f>
        <v>OPP-054</v>
      </c>
      <c r="B55" s="7" t="str">
        <f aca="false">Catalog!D55</f>
        <v>Eliminate redundant SaaS subscriptions</v>
      </c>
      <c r="C55" s="7" t="str">
        <f aca="false">Catalog!B55</f>
        <v>Strategic-Cost</v>
      </c>
      <c r="D55" s="20" t="str">
        <f aca="false">Catalog!O55</f>
        <v>Y</v>
      </c>
      <c r="E55" s="20" t="str">
        <f aca="false">Catalog!P55</f>
        <v>Y</v>
      </c>
      <c r="F55" s="20" t="str">
        <f aca="false">Catalog!Q55</f>
        <v>Y</v>
      </c>
      <c r="G55" s="20" t="str">
        <f aca="false">Catalog!R55</f>
        <v>Y</v>
      </c>
    </row>
    <row r="56" customFormat="false" ht="15" hidden="false" customHeight="true" outlineLevel="0" collapsed="false">
      <c r="A56" s="7" t="str">
        <f aca="false">Catalog!A56</f>
        <v>OPP-055</v>
      </c>
      <c r="B56" s="7" t="str">
        <f aca="false">Catalog!D56</f>
        <v>Renegotiate DSP/SSP minimums and rates</v>
      </c>
      <c r="C56" s="7" t="str">
        <f aca="false">Catalog!B56</f>
        <v>Strategic-Cost</v>
      </c>
      <c r="D56" s="20" t="str">
        <f aca="false">Catalog!O56</f>
        <v>Y</v>
      </c>
      <c r="E56" s="20" t="str">
        <f aca="false">Catalog!P56</f>
        <v>P</v>
      </c>
      <c r="F56" s="20" t="str">
        <f aca="false">Catalog!Q56</f>
        <v>Y</v>
      </c>
      <c r="G56" s="20" t="str">
        <f aca="false">Catalog!R56</f>
        <v>P</v>
      </c>
    </row>
    <row r="57" customFormat="false" ht="15" hidden="false" customHeight="true" outlineLevel="0" collapsed="false">
      <c r="A57" s="7" t="str">
        <f aca="false">Catalog!A57</f>
        <v>OPP-056</v>
      </c>
      <c r="B57" s="7" t="str">
        <f aca="false">Catalog!D57</f>
        <v>Optimize programmatic supply path (SPO)</v>
      </c>
      <c r="C57" s="7" t="str">
        <f aca="false">Catalog!B57</f>
        <v>Strategic-Cost</v>
      </c>
      <c r="D57" s="20" t="str">
        <f aca="false">Catalog!O57</f>
        <v>P</v>
      </c>
      <c r="E57" s="20" t="str">
        <f aca="false">Catalog!P57</f>
        <v>P</v>
      </c>
      <c r="F57" s="20" t="str">
        <f aca="false">Catalog!Q57</f>
        <v>Y</v>
      </c>
      <c r="G57" s="20" t="str">
        <f aca="false">Catalog!R57</f>
        <v>N</v>
      </c>
    </row>
    <row r="58" customFormat="false" ht="15" hidden="false" customHeight="true" outlineLevel="0" collapsed="false">
      <c r="A58" s="7" t="str">
        <f aca="false">Catalog!A58</f>
        <v>OPP-057</v>
      </c>
      <c r="B58" s="7" t="str">
        <f aca="false">Catalog!D58</f>
        <v>Move creative production to lower-cost model</v>
      </c>
      <c r="C58" s="7" t="str">
        <f aca="false">Catalog!B58</f>
        <v>Strategic-Cost</v>
      </c>
      <c r="D58" s="20" t="str">
        <f aca="false">Catalog!O58</f>
        <v>Y</v>
      </c>
      <c r="E58" s="20" t="str">
        <f aca="false">Catalog!P58</f>
        <v>Y</v>
      </c>
      <c r="F58" s="20" t="str">
        <f aca="false">Catalog!Q58</f>
        <v>Y</v>
      </c>
      <c r="G58" s="20" t="str">
        <f aca="false">Catalog!R58</f>
        <v>Y</v>
      </c>
    </row>
    <row r="59" customFormat="false" ht="15" hidden="false" customHeight="true" outlineLevel="0" collapsed="false">
      <c r="A59" s="7" t="str">
        <f aca="false">Catalog!A59</f>
        <v>OPP-058</v>
      </c>
      <c r="B59" s="7" t="str">
        <f aca="false">Catalog!D59</f>
        <v>Insource SEO function from agency</v>
      </c>
      <c r="C59" s="7" t="str">
        <f aca="false">Catalog!B59</f>
        <v>Strategic-Cost</v>
      </c>
      <c r="D59" s="20" t="str">
        <f aca="false">Catalog!O59</f>
        <v>Y</v>
      </c>
      <c r="E59" s="20" t="str">
        <f aca="false">Catalog!P59</f>
        <v>Y</v>
      </c>
      <c r="F59" s="20" t="str">
        <f aca="false">Catalog!Q59</f>
        <v>Y</v>
      </c>
      <c r="G59" s="20" t="str">
        <f aca="false">Catalog!R59</f>
        <v>Y</v>
      </c>
    </row>
    <row r="60" customFormat="false" ht="15" hidden="false" customHeight="true" outlineLevel="0" collapsed="false">
      <c r="A60" s="7" t="str">
        <f aca="false">Catalog!A60</f>
        <v>OPP-059</v>
      </c>
      <c r="B60" s="7" t="str">
        <f aca="false">Catalog!D60</f>
        <v>Renegotiate platform terms at higher commitment tier</v>
      </c>
      <c r="C60" s="7" t="str">
        <f aca="false">Catalog!B60</f>
        <v>Strategic-Cost</v>
      </c>
      <c r="D60" s="20" t="str">
        <f aca="false">Catalog!O60</f>
        <v>Y</v>
      </c>
      <c r="E60" s="20" t="str">
        <f aca="false">Catalog!P60</f>
        <v>Y</v>
      </c>
      <c r="F60" s="20" t="str">
        <f aca="false">Catalog!Q60</f>
        <v>Y</v>
      </c>
      <c r="G60" s="20" t="str">
        <f aca="false">Catalog!R60</f>
        <v>Y</v>
      </c>
    </row>
    <row r="61" customFormat="false" ht="15" hidden="false" customHeight="true" outlineLevel="0" collapsed="false">
      <c r="A61" s="7" t="str">
        <f aca="false">Catalog!A61</f>
        <v>OPP-060</v>
      </c>
      <c r="B61" s="7" t="str">
        <f aca="false">Catalog!D61</f>
        <v>Make-vs-buy review on data/research subscriptions</v>
      </c>
      <c r="C61" s="7" t="str">
        <f aca="false">Catalog!B61</f>
        <v>Strategic-Cost</v>
      </c>
      <c r="D61" s="20" t="str">
        <f aca="false">Catalog!O61</f>
        <v>Y</v>
      </c>
      <c r="E61" s="20" t="str">
        <f aca="false">Catalog!P61</f>
        <v>Y</v>
      </c>
      <c r="F61" s="20" t="str">
        <f aca="false">Catalog!Q61</f>
        <v>P</v>
      </c>
      <c r="G61" s="20" t="str">
        <f aca="false">Catalog!R61</f>
        <v>P</v>
      </c>
    </row>
    <row r="62" customFormat="false" ht="23.25" hidden="false" customHeight="true" outlineLevel="0" collapsed="false">
      <c r="A62" s="7" t="str">
        <f aca="false">Catalog!A62</f>
        <v>OPP-061</v>
      </c>
      <c r="B62" s="7" t="str">
        <f aca="false">Catalog!D62</f>
        <v>Replatform commerce stack (e.g., Shopify Plus, BigCommerce Enterprise)</v>
      </c>
      <c r="C62" s="7" t="str">
        <f aca="false">Catalog!B62</f>
        <v>Strategic-CX</v>
      </c>
      <c r="D62" s="20" t="str">
        <f aca="false">Catalog!O62</f>
        <v>Y</v>
      </c>
      <c r="E62" s="20" t="str">
        <f aca="false">Catalog!P62</f>
        <v>P</v>
      </c>
      <c r="F62" s="20" t="str">
        <f aca="false">Catalog!Q62</f>
        <v>Y</v>
      </c>
      <c r="G62" s="20" t="str">
        <f aca="false">Catalog!R62</f>
        <v>P</v>
      </c>
    </row>
    <row r="63" customFormat="false" ht="15" hidden="false" customHeight="true" outlineLevel="0" collapsed="false">
      <c r="A63" s="7" t="str">
        <f aca="false">Catalog!A63</f>
        <v>OPP-062</v>
      </c>
      <c r="B63" s="7" t="str">
        <f aca="false">Catalog!D63</f>
        <v>Implement one-page or accelerated checkout</v>
      </c>
      <c r="C63" s="7" t="str">
        <f aca="false">Catalog!B63</f>
        <v>Strategic-CX</v>
      </c>
      <c r="D63" s="20" t="str">
        <f aca="false">Catalog!O63</f>
        <v>Y</v>
      </c>
      <c r="E63" s="20" t="str">
        <f aca="false">Catalog!P63</f>
        <v>P</v>
      </c>
      <c r="F63" s="20" t="str">
        <f aca="false">Catalog!Q63</f>
        <v>Y</v>
      </c>
      <c r="G63" s="20" t="str">
        <f aca="false">Catalog!R63</f>
        <v>N</v>
      </c>
    </row>
    <row r="64" customFormat="false" ht="15" hidden="false" customHeight="true" outlineLevel="0" collapsed="false">
      <c r="A64" s="7" t="str">
        <f aca="false">Catalog!A64</f>
        <v>OPP-063</v>
      </c>
      <c r="B64" s="7" t="str">
        <f aca="false">Catalog!D64</f>
        <v>Implement product recommendation engine</v>
      </c>
      <c r="C64" s="7" t="str">
        <f aca="false">Catalog!B64</f>
        <v>Strategic-CX</v>
      </c>
      <c r="D64" s="20" t="str">
        <f aca="false">Catalog!O64</f>
        <v>Y</v>
      </c>
      <c r="E64" s="20" t="str">
        <f aca="false">Catalog!P64</f>
        <v>P</v>
      </c>
      <c r="F64" s="20" t="str">
        <f aca="false">Catalog!Q64</f>
        <v>Y</v>
      </c>
      <c r="G64" s="20" t="str">
        <f aca="false">Catalog!R64</f>
        <v>P</v>
      </c>
    </row>
    <row r="65" customFormat="false" ht="15" hidden="false" customHeight="true" outlineLevel="0" collapsed="false">
      <c r="A65" s="7" t="str">
        <f aca="false">Catalog!A65</f>
        <v>OPP-064</v>
      </c>
      <c r="B65" s="7" t="str">
        <f aca="false">Catalog!D65</f>
        <v>Launch or restructure loyalty program</v>
      </c>
      <c r="C65" s="7" t="str">
        <f aca="false">Catalog!B65</f>
        <v>Strategic-CX</v>
      </c>
      <c r="D65" s="20" t="str">
        <f aca="false">Catalog!O65</f>
        <v>Y</v>
      </c>
      <c r="E65" s="20" t="str">
        <f aca="false">Catalog!P65</f>
        <v>P</v>
      </c>
      <c r="F65" s="20" t="str">
        <f aca="false">Catalog!Q65</f>
        <v>Y</v>
      </c>
      <c r="G65" s="20" t="str">
        <f aca="false">Catalog!R65</f>
        <v>Y</v>
      </c>
    </row>
    <row r="66" customFormat="false" ht="15" hidden="false" customHeight="true" outlineLevel="0" collapsed="false">
      <c r="A66" s="7" t="str">
        <f aca="false">Catalog!A66</f>
        <v>OPP-065</v>
      </c>
      <c r="B66" s="7" t="str">
        <f aca="false">Catalog!D66</f>
        <v>Implement dedicated returns experience platform</v>
      </c>
      <c r="C66" s="7" t="str">
        <f aca="false">Catalog!B66</f>
        <v>Strategic-CX</v>
      </c>
      <c r="D66" s="20" t="str">
        <f aca="false">Catalog!O66</f>
        <v>Y</v>
      </c>
      <c r="E66" s="20" t="str">
        <f aca="false">Catalog!P66</f>
        <v>N</v>
      </c>
      <c r="F66" s="20" t="str">
        <f aca="false">Catalog!Q66</f>
        <v>Y</v>
      </c>
      <c r="G66" s="20" t="str">
        <f aca="false">Catalog!R66</f>
        <v>P</v>
      </c>
    </row>
    <row r="67" customFormat="false" ht="15" hidden="false" customHeight="true" outlineLevel="0" collapsed="false">
      <c r="A67" s="7" t="str">
        <f aca="false">Catalog!A67</f>
        <v>OPP-066</v>
      </c>
      <c r="B67" s="7" t="str">
        <f aca="false">Catalog!D67</f>
        <v>Launch subscription/recurring revenue model</v>
      </c>
      <c r="C67" s="7" t="str">
        <f aca="false">Catalog!B67</f>
        <v>Strategic-CX</v>
      </c>
      <c r="D67" s="20" t="str">
        <f aca="false">Catalog!O67</f>
        <v>Y</v>
      </c>
      <c r="E67" s="20" t="str">
        <f aca="false">Catalog!P67</f>
        <v>Y</v>
      </c>
      <c r="F67" s="20" t="str">
        <f aca="false">Catalog!Q67</f>
        <v>Y</v>
      </c>
      <c r="G67" s="20" t="str">
        <f aca="false">Catalog!R67</f>
        <v>Y</v>
      </c>
    </row>
    <row r="68" customFormat="false" ht="15" hidden="false" customHeight="true" outlineLevel="0" collapsed="false">
      <c r="A68" s="7" t="str">
        <f aca="false">Catalog!A68</f>
        <v>OPP-067</v>
      </c>
      <c r="B68" s="7" t="str">
        <f aca="false">Catalog!D68</f>
        <v>Build native mobile app for repeat customers</v>
      </c>
      <c r="C68" s="7" t="str">
        <f aca="false">Catalog!B68</f>
        <v>Strategic-CX</v>
      </c>
      <c r="D68" s="20" t="str">
        <f aca="false">Catalog!O68</f>
        <v>Y</v>
      </c>
      <c r="E68" s="20" t="str">
        <f aca="false">Catalog!P68</f>
        <v>P</v>
      </c>
      <c r="F68" s="20" t="str">
        <f aca="false">Catalog!Q68</f>
        <v>Y</v>
      </c>
      <c r="G68" s="20" t="str">
        <f aca="false">Catalog!R68</f>
        <v>P</v>
      </c>
    </row>
    <row r="69" customFormat="false" ht="15" hidden="false" customHeight="true" outlineLevel="0" collapsed="false">
      <c r="A69" s="7" t="str">
        <f aca="false">Catalog!A69</f>
        <v>OPP-068</v>
      </c>
      <c r="B69" s="7" t="str">
        <f aca="false">Catalog!D69</f>
        <v>Build comprehensive lifecycle email program</v>
      </c>
      <c r="C69" s="7" t="str">
        <f aca="false">Catalog!B69</f>
        <v>Strategic-CX</v>
      </c>
      <c r="D69" s="20" t="str">
        <f aca="false">Catalog!O69</f>
        <v>Y</v>
      </c>
      <c r="E69" s="20" t="str">
        <f aca="false">Catalog!P69</f>
        <v>Y</v>
      </c>
      <c r="F69" s="20" t="str">
        <f aca="false">Catalog!Q69</f>
        <v>Y</v>
      </c>
      <c r="G69" s="20" t="str">
        <f aca="false">Catalog!R69</f>
        <v>Y</v>
      </c>
    </row>
    <row r="70" customFormat="false" ht="15" hidden="false" customHeight="true" outlineLevel="0" collapsed="false">
      <c r="A70" s="7" t="str">
        <f aca="false">Catalog!A70</f>
        <v>OPP-069</v>
      </c>
      <c r="B70" s="7" t="str">
        <f aca="false">Catalog!D70</f>
        <v>Add SMS/messaging channel for high-engagement audience</v>
      </c>
      <c r="C70" s="7" t="str">
        <f aca="false">Catalog!B70</f>
        <v>Strategic-CX</v>
      </c>
      <c r="D70" s="20" t="str">
        <f aca="false">Catalog!O70</f>
        <v>Y</v>
      </c>
      <c r="E70" s="20" t="str">
        <f aca="false">Catalog!P70</f>
        <v>P</v>
      </c>
      <c r="F70" s="20" t="str">
        <f aca="false">Catalog!Q70</f>
        <v>Y</v>
      </c>
      <c r="G70" s="20" t="str">
        <f aca="false">Catalog!R70</f>
        <v>P</v>
      </c>
    </row>
    <row r="71" customFormat="false" ht="15" hidden="false" customHeight="true" outlineLevel="0" collapsed="false">
      <c r="A71" s="7" t="str">
        <f aca="false">Catalog!A71</f>
        <v>OPP-070</v>
      </c>
      <c r="B71" s="7" t="str">
        <f aca="false">Catalog!D71</f>
        <v>Optimize site performance (Core Web Vitals)</v>
      </c>
      <c r="C71" s="7" t="str">
        <f aca="false">Catalog!B71</f>
        <v>Strategic-CX</v>
      </c>
      <c r="D71" s="20" t="str">
        <f aca="false">Catalog!O71</f>
        <v>Y</v>
      </c>
      <c r="E71" s="20" t="str">
        <f aca="false">Catalog!P71</f>
        <v>Y</v>
      </c>
      <c r="F71" s="20" t="str">
        <f aca="false">Catalog!Q71</f>
        <v>Y</v>
      </c>
      <c r="G71" s="20" t="str">
        <f aca="false">Catalog!R71</f>
        <v>Y</v>
      </c>
    </row>
    <row r="72" customFormat="false" ht="15" hidden="false" customHeight="true" outlineLevel="0" collapsed="false">
      <c r="A72" s="7" t="str">
        <f aca="false">Catalog!A72</f>
        <v>OPP-071</v>
      </c>
      <c r="B72" s="7" t="str">
        <f aca="false">Catalog!D72</f>
        <v>Achieve GDPR/CCPA/state-law privacy compliance</v>
      </c>
      <c r="C72" s="7" t="str">
        <f aca="false">Catalog!B72</f>
        <v>Defensive</v>
      </c>
      <c r="D72" s="20" t="str">
        <f aca="false">Catalog!O72</f>
        <v>Y</v>
      </c>
      <c r="E72" s="20" t="str">
        <f aca="false">Catalog!P72</f>
        <v>Y</v>
      </c>
      <c r="F72" s="20" t="str">
        <f aca="false">Catalog!Q72</f>
        <v>Y</v>
      </c>
      <c r="G72" s="20" t="str">
        <f aca="false">Catalog!R72</f>
        <v>Y</v>
      </c>
    </row>
    <row r="73" customFormat="false" ht="15" hidden="false" customHeight="true" outlineLevel="0" collapsed="false">
      <c r="A73" s="7" t="str">
        <f aca="false">Catalog!A73</f>
        <v>OPP-072</v>
      </c>
      <c r="B73" s="7" t="str">
        <f aca="false">Catalog!D73</f>
        <v>Prepare for cookie deprecation / privacy sandbox</v>
      </c>
      <c r="C73" s="7" t="str">
        <f aca="false">Catalog!B73</f>
        <v>Defensive</v>
      </c>
      <c r="D73" s="20" t="str">
        <f aca="false">Catalog!O73</f>
        <v>Y</v>
      </c>
      <c r="E73" s="20" t="str">
        <f aca="false">Catalog!P73</f>
        <v>Y</v>
      </c>
      <c r="F73" s="20" t="str">
        <f aca="false">Catalog!Q73</f>
        <v>Y</v>
      </c>
      <c r="G73" s="20" t="str">
        <f aca="false">Catalog!R73</f>
        <v>P</v>
      </c>
    </row>
    <row r="74" customFormat="false" ht="15" hidden="false" customHeight="true" outlineLevel="0" collapsed="false">
      <c r="A74" s="7" t="str">
        <f aca="false">Catalog!A74</f>
        <v>OPP-073</v>
      </c>
      <c r="B74" s="7" t="str">
        <f aca="false">Catalog!D74</f>
        <v>Implement comprehensive brand safety controls</v>
      </c>
      <c r="C74" s="7" t="str">
        <f aca="false">Catalog!B74</f>
        <v>Defensive</v>
      </c>
      <c r="D74" s="20" t="str">
        <f aca="false">Catalog!O74</f>
        <v>Y</v>
      </c>
      <c r="E74" s="20" t="str">
        <f aca="false">Catalog!P74</f>
        <v>Y</v>
      </c>
      <c r="F74" s="20" t="str">
        <f aca="false">Catalog!Q74</f>
        <v>Y</v>
      </c>
      <c r="G74" s="20" t="str">
        <f aca="false">Catalog!R74</f>
        <v>Y</v>
      </c>
    </row>
    <row r="75" customFormat="false" ht="15" hidden="false" customHeight="true" outlineLevel="0" collapsed="false">
      <c r="A75" s="7" t="str">
        <f aca="false">Catalog!A75</f>
        <v>OPP-074</v>
      </c>
      <c r="B75" s="7" t="str">
        <f aca="false">Catalog!D75</f>
        <v>Strengthen attribution methodology against signal loss</v>
      </c>
      <c r="C75" s="7" t="str">
        <f aca="false">Catalog!B75</f>
        <v>Defensive</v>
      </c>
      <c r="D75" s="20" t="str">
        <f aca="false">Catalog!O75</f>
        <v>Y</v>
      </c>
      <c r="E75" s="20" t="str">
        <f aca="false">Catalog!P75</f>
        <v>Y</v>
      </c>
      <c r="F75" s="20" t="str">
        <f aca="false">Catalog!Q75</f>
        <v>Y</v>
      </c>
      <c r="G75" s="20" t="str">
        <f aca="false">Catalog!R75</f>
        <v>P</v>
      </c>
    </row>
    <row r="76" customFormat="false" ht="15" hidden="false" customHeight="true" outlineLevel="0" collapsed="false">
      <c r="A76" s="7" t="str">
        <f aca="false">Catalog!A76</f>
        <v>OPP-075</v>
      </c>
      <c r="B76" s="7" t="str">
        <f aca="false">Catalog!D76</f>
        <v>Reduce concentration on single vendor/platform</v>
      </c>
      <c r="C76" s="7" t="str">
        <f aca="false">Catalog!B76</f>
        <v>Defensive</v>
      </c>
      <c r="D76" s="20" t="str">
        <f aca="false">Catalog!O76</f>
        <v>Y</v>
      </c>
      <c r="E76" s="20" t="str">
        <f aca="false">Catalog!P76</f>
        <v>Y</v>
      </c>
      <c r="F76" s="20" t="str">
        <f aca="false">Catalog!Q76</f>
        <v>Y</v>
      </c>
      <c r="G76" s="20" t="str">
        <f aca="false">Catalog!R76</f>
        <v>Y</v>
      </c>
    </row>
    <row r="77" customFormat="false" ht="15" hidden="false" customHeight="true" outlineLevel="0" collapsed="false">
      <c r="A77" s="7" t="str">
        <f aca="false">Catalog!A77</f>
        <v>OPP-076</v>
      </c>
      <c r="B77" s="7" t="str">
        <f aca="false">Catalog!D77</f>
        <v>Implement marketing team retention program</v>
      </c>
      <c r="C77" s="7" t="str">
        <f aca="false">Catalog!B77</f>
        <v>Defensive</v>
      </c>
      <c r="D77" s="20" t="str">
        <f aca="false">Catalog!O77</f>
        <v>Y</v>
      </c>
      <c r="E77" s="20" t="str">
        <f aca="false">Catalog!P77</f>
        <v>Y</v>
      </c>
      <c r="F77" s="20" t="str">
        <f aca="false">Catalog!Q77</f>
        <v>Y</v>
      </c>
      <c r="G77" s="20" t="str">
        <f aca="false">Catalog!R77</f>
        <v>Y</v>
      </c>
    </row>
    <row r="78" customFormat="false" ht="15" hidden="false" customHeight="true" outlineLevel="0" collapsed="false">
      <c r="A78" s="7" t="str">
        <f aca="false">Catalog!A78</f>
        <v>OPP-077</v>
      </c>
      <c r="B78" s="7" t="str">
        <f aca="false">Catalog!D78</f>
        <v>Build marketing crisis response capability</v>
      </c>
      <c r="C78" s="7" t="str">
        <f aca="false">Catalog!B78</f>
        <v>Defensive</v>
      </c>
      <c r="D78" s="20" t="str">
        <f aca="false">Catalog!O78</f>
        <v>Y</v>
      </c>
      <c r="E78" s="20" t="str">
        <f aca="false">Catalog!P78</f>
        <v>Y</v>
      </c>
      <c r="F78" s="20" t="str">
        <f aca="false">Catalog!Q78</f>
        <v>Y</v>
      </c>
      <c r="G78" s="20" t="str">
        <f aca="false">Catalog!R78</f>
        <v>Y</v>
      </c>
    </row>
    <row r="79" customFormat="false" ht="15" hidden="false" customHeight="true" outlineLevel="0" collapsed="false">
      <c r="A79" s="7" t="str">
        <f aca="false">Catalog!A79</f>
        <v>OPP-078</v>
      </c>
      <c r="B79" s="7" t="str">
        <f aca="false">Catalog!D79</f>
        <v>Ensure data portability across vendors</v>
      </c>
      <c r="C79" s="7" t="str">
        <f aca="false">Catalog!B79</f>
        <v>Defensive</v>
      </c>
      <c r="D79" s="20" t="str">
        <f aca="false">Catalog!O79</f>
        <v>Y</v>
      </c>
      <c r="E79" s="20" t="str">
        <f aca="false">Catalog!P79</f>
        <v>Y</v>
      </c>
      <c r="F79" s="20" t="str">
        <f aca="false">Catalog!Q79</f>
        <v>Y</v>
      </c>
      <c r="G79" s="20" t="str">
        <f aca="false">Catalog!R79</f>
        <v>Y</v>
      </c>
    </row>
    <row r="80" customFormat="false" ht="15" hidden="false" customHeight="true" outlineLevel="0" collapsed="false">
      <c r="A80" s="7" t="str">
        <f aca="false">Catalog!A80</f>
        <v>OPP-079</v>
      </c>
      <c r="B80" s="7" t="str">
        <f aca="false">Catalog!D80</f>
        <v>Restructure promotional calendar to protect margin</v>
      </c>
      <c r="C80" s="7" t="str">
        <f aca="false">Catalog!B80</f>
        <v>Strategic-Pricing</v>
      </c>
      <c r="D80" s="20" t="str">
        <f aca="false">Catalog!O80</f>
        <v>Y</v>
      </c>
      <c r="E80" s="20" t="str">
        <f aca="false">Catalog!P80</f>
        <v>P</v>
      </c>
      <c r="F80" s="20" t="str">
        <f aca="false">Catalog!Q80</f>
        <v>Y</v>
      </c>
      <c r="G80" s="20" t="str">
        <f aca="false">Catalog!R80</f>
        <v>P</v>
      </c>
    </row>
    <row r="81" customFormat="false" ht="15" hidden="false" customHeight="true" outlineLevel="0" collapsed="false">
      <c r="A81" s="7" t="str">
        <f aca="false">Catalog!A81</f>
        <v>OPP-080</v>
      </c>
      <c r="B81" s="7" t="str">
        <f aca="false">Catalog!D81</f>
        <v>Implement dynamic/personalized pricing</v>
      </c>
      <c r="C81" s="7" t="str">
        <f aca="false">Catalog!B81</f>
        <v>Strategic-Pricing</v>
      </c>
      <c r="D81" s="20" t="str">
        <f aca="false">Catalog!O81</f>
        <v>Y</v>
      </c>
      <c r="E81" s="20" t="str">
        <f aca="false">Catalog!P81</f>
        <v>Y</v>
      </c>
      <c r="F81" s="20" t="str">
        <f aca="false">Catalog!Q81</f>
        <v>Y</v>
      </c>
      <c r="G81" s="20" t="str">
        <f aca="false">Catalog!R81</f>
        <v>P</v>
      </c>
    </row>
    <row r="82" customFormat="false" ht="15" hidden="false" customHeight="true" outlineLevel="0" collapsed="false">
      <c r="A82" s="7" t="str">
        <f aca="false">Catalog!A82</f>
        <v>OPP-081</v>
      </c>
      <c r="B82" s="7" t="str">
        <f aca="false">Catalog!D82</f>
        <v>Build structured bundle and upsell program</v>
      </c>
      <c r="C82" s="7" t="str">
        <f aca="false">Catalog!B82</f>
        <v>Strategic-Pricing</v>
      </c>
      <c r="D82" s="20" t="str">
        <f aca="false">Catalog!O82</f>
        <v>Y</v>
      </c>
      <c r="E82" s="20" t="str">
        <f aca="false">Catalog!P82</f>
        <v>Y</v>
      </c>
      <c r="F82" s="20" t="str">
        <f aca="false">Catalog!Q82</f>
        <v>Y</v>
      </c>
      <c r="G82" s="20" t="str">
        <f aca="false">Catalog!R82</f>
        <v>P</v>
      </c>
    </row>
    <row r="83" customFormat="false" ht="15" hidden="false" customHeight="true" outlineLevel="0" collapsed="false">
      <c r="A83" s="7" t="str">
        <f aca="false">Catalog!A83</f>
        <v>OPP-082</v>
      </c>
      <c r="B83" s="7" t="str">
        <f aca="false">Catalog!D83</f>
        <v>Optimize free shipping threshold for AOV</v>
      </c>
      <c r="C83" s="7" t="str">
        <f aca="false">Catalog!B83</f>
        <v>Strategic-Pricing</v>
      </c>
      <c r="D83" s="20" t="str">
        <f aca="false">Catalog!O83</f>
        <v>Y</v>
      </c>
      <c r="E83" s="20" t="str">
        <f aca="false">Catalog!P83</f>
        <v>N</v>
      </c>
      <c r="F83" s="20" t="str">
        <f aca="false">Catalog!Q83</f>
        <v>Y</v>
      </c>
      <c r="G83" s="20" t="str">
        <f aca="false">Catalog!R83</f>
        <v>N</v>
      </c>
    </row>
    <row r="84" customFormat="false" ht="15" hidden="false" customHeight="true" outlineLevel="0" collapsed="false">
      <c r="A84" s="7" t="str">
        <f aca="false">Catalog!A84</f>
        <v>OPP-083</v>
      </c>
      <c r="B84" s="7" t="str">
        <f aca="false">Catalog!D84</f>
        <v>Run structured incrementality test program</v>
      </c>
      <c r="C84" s="7" t="str">
        <f aca="false">Catalog!B84</f>
        <v>Strategic-Measurement</v>
      </c>
      <c r="D84" s="20" t="str">
        <f aca="false">Catalog!O84</f>
        <v>Y</v>
      </c>
      <c r="E84" s="20" t="str">
        <f aca="false">Catalog!P84</f>
        <v>Y</v>
      </c>
      <c r="F84" s="20" t="str">
        <f aca="false">Catalog!Q84</f>
        <v>Y</v>
      </c>
      <c r="G84" s="20" t="str">
        <f aca="false">Catalog!R84</f>
        <v>P</v>
      </c>
    </row>
    <row r="85" customFormat="false" ht="15" hidden="false" customHeight="true" outlineLevel="0" collapsed="false">
      <c r="A85" s="7" t="str">
        <f aca="false">Catalog!A85</f>
        <v>OPP-084</v>
      </c>
      <c r="B85" s="7" t="str">
        <f aca="false">Catalog!D85</f>
        <v>Implement or upgrade Marketing Mix Model</v>
      </c>
      <c r="C85" s="7" t="str">
        <f aca="false">Catalog!B85</f>
        <v>Strategic-Measurement</v>
      </c>
      <c r="D85" s="20" t="str">
        <f aca="false">Catalog!O85</f>
        <v>Y</v>
      </c>
      <c r="E85" s="20" t="str">
        <f aca="false">Catalog!P85</f>
        <v>Y</v>
      </c>
      <c r="F85" s="20" t="str">
        <f aca="false">Catalog!Q85</f>
        <v>P</v>
      </c>
      <c r="G85" s="20" t="str">
        <f aca="false">Catalog!R85</f>
        <v>P</v>
      </c>
    </row>
    <row r="86" customFormat="false" ht="15" hidden="false" customHeight="true" outlineLevel="0" collapsed="false">
      <c r="A86" s="7" t="str">
        <f aca="false">Catalog!A86</f>
        <v>OPP-085</v>
      </c>
      <c r="B86" s="7" t="str">
        <f aca="false">Catalog!D86</f>
        <v>Build customer LTV / CAC payback measurement</v>
      </c>
      <c r="C86" s="7" t="str">
        <f aca="false">Catalog!B86</f>
        <v>Strategic-Measurement</v>
      </c>
      <c r="D86" s="20" t="str">
        <f aca="false">Catalog!O86</f>
        <v>Y</v>
      </c>
      <c r="E86" s="20" t="str">
        <f aca="false">Catalog!P86</f>
        <v>Y</v>
      </c>
      <c r="F86" s="20" t="str">
        <f aca="false">Catalog!Q86</f>
        <v>Y</v>
      </c>
      <c r="G86" s="20" t="str">
        <f aca="false">Catalog!R86</f>
        <v>Y</v>
      </c>
    </row>
    <row r="87" customFormat="false" ht="15" hidden="false" customHeight="true" outlineLevel="0" collapsed="false">
      <c r="A87" s="7" t="str">
        <f aca="false">Catalog!A87</f>
        <v>OPP-086</v>
      </c>
      <c r="B87" s="7" t="str">
        <f aca="false">Catalog!D87</f>
        <v>Implement brand health tracking</v>
      </c>
      <c r="C87" s="7" t="str">
        <f aca="false">Catalog!B87</f>
        <v>Strategic-Measurement</v>
      </c>
      <c r="D87" s="20" t="str">
        <f aca="false">Catalog!O87</f>
        <v>Y</v>
      </c>
      <c r="E87" s="20" t="str">
        <f aca="false">Catalog!P87</f>
        <v>Y</v>
      </c>
      <c r="F87" s="20" t="str">
        <f aca="false">Catalog!Q87</f>
        <v>Y</v>
      </c>
      <c r="G87" s="20" t="str">
        <f aca="false">Catalog!R87</f>
        <v>Y</v>
      </c>
    </row>
    <row r="88" customFormat="false" ht="15" hidden="false" customHeight="true" outlineLevel="0" collapsed="false">
      <c r="A88" s="7" t="str">
        <f aca="false">Catalog!A88</f>
        <v>OPP-087</v>
      </c>
      <c r="B88" s="7" t="str">
        <f aca="false">Catalog!D88</f>
        <v>Run continuous voice-of-customer survey program</v>
      </c>
      <c r="C88" s="7" t="str">
        <f aca="false">Catalog!B88</f>
        <v>Strategic-Measurement</v>
      </c>
      <c r="D88" s="20" t="str">
        <f aca="false">Catalog!O88</f>
        <v>Y</v>
      </c>
      <c r="E88" s="20" t="str">
        <f aca="false">Catalog!P88</f>
        <v>Y</v>
      </c>
      <c r="F88" s="20" t="str">
        <f aca="false">Catalog!Q88</f>
        <v>Y</v>
      </c>
      <c r="G88" s="20" t="str">
        <f aca="false">Catalog!R88</f>
        <v>Y</v>
      </c>
    </row>
    <row r="89" customFormat="false" ht="15" hidden="false" customHeight="true" outlineLevel="0" collapsed="false">
      <c r="A89" s="7" t="str">
        <f aca="false">Catalog!A89</f>
        <v>OPP-088</v>
      </c>
      <c r="B89" s="7" t="str">
        <f aca="false">Catalog!D89</f>
        <v>Build editorial/content engine for organic acquisition</v>
      </c>
      <c r="C89" s="7" t="str">
        <f aca="false">Catalog!B89</f>
        <v>Strategic-Content</v>
      </c>
      <c r="D89" s="20" t="str">
        <f aca="false">Catalog!O89</f>
        <v>Y</v>
      </c>
      <c r="E89" s="20" t="str">
        <f aca="false">Catalog!P89</f>
        <v>Y</v>
      </c>
      <c r="F89" s="20" t="str">
        <f aca="false">Catalog!Q89</f>
        <v>Y</v>
      </c>
      <c r="G89" s="20" t="str">
        <f aca="false">Catalog!R89</f>
        <v>Y</v>
      </c>
    </row>
    <row r="90" customFormat="false" ht="15" hidden="false" customHeight="true" outlineLevel="0" collapsed="false">
      <c r="A90" s="7" t="str">
        <f aca="false">Catalog!A90</f>
        <v>OPP-089</v>
      </c>
      <c r="B90" s="7" t="str">
        <f aca="false">Catalog!D90</f>
        <v>Comprehensive technical SEO audit and remediation</v>
      </c>
      <c r="C90" s="7" t="str">
        <f aca="false">Catalog!B90</f>
        <v>Strategic-Content</v>
      </c>
      <c r="D90" s="20" t="str">
        <f aca="false">Catalog!O90</f>
        <v>Y</v>
      </c>
      <c r="E90" s="20" t="str">
        <f aca="false">Catalog!P90</f>
        <v>Y</v>
      </c>
      <c r="F90" s="20" t="str">
        <f aca="false">Catalog!Q90</f>
        <v>Y</v>
      </c>
      <c r="G90" s="20" t="str">
        <f aca="false">Catalog!R90</f>
        <v>Y</v>
      </c>
    </row>
    <row r="91" customFormat="false" ht="15" hidden="false" customHeight="true" outlineLevel="0" collapsed="false">
      <c r="A91" s="7" t="str">
        <f aca="false">Catalog!A91</f>
        <v>OPP-090</v>
      </c>
      <c r="B91" s="7" t="str">
        <f aca="false">Catalog!D91</f>
        <v>Build programmatic SEO content at scale</v>
      </c>
      <c r="C91" s="7" t="str">
        <f aca="false">Catalog!B91</f>
        <v>Strategic-Content</v>
      </c>
      <c r="D91" s="20" t="str">
        <f aca="false">Catalog!O91</f>
        <v>Y</v>
      </c>
      <c r="E91" s="20" t="str">
        <f aca="false">Catalog!P91</f>
        <v>Y</v>
      </c>
      <c r="F91" s="20" t="str">
        <f aca="false">Catalog!Q91</f>
        <v>Y</v>
      </c>
      <c r="G91" s="20" t="str">
        <f aca="false">Catalog!R91</f>
        <v>P</v>
      </c>
    </row>
    <row r="92" customFormat="false" ht="15" hidden="false" customHeight="true" outlineLevel="0" collapsed="false">
      <c r="A92" s="7" t="str">
        <f aca="false">Catalog!A92</f>
        <v>OPP-091</v>
      </c>
      <c r="B92" s="7" t="str">
        <f aca="false">Catalog!D92</f>
        <v>Syndicate content to high-traffic third-party platforms</v>
      </c>
      <c r="C92" s="7" t="str">
        <f aca="false">Catalog!B92</f>
        <v>Strategic-Content</v>
      </c>
      <c r="D92" s="20" t="str">
        <f aca="false">Catalog!O92</f>
        <v>Y</v>
      </c>
      <c r="E92" s="20" t="str">
        <f aca="false">Catalog!P92</f>
        <v>Y</v>
      </c>
      <c r="F92" s="20" t="str">
        <f aca="false">Catalog!Q92</f>
        <v>Y</v>
      </c>
      <c r="G92" s="20" t="str">
        <f aca="false">Catalog!R92</f>
        <v>Y</v>
      </c>
    </row>
    <row r="93" customFormat="false" ht="15" hidden="false" customHeight="true" outlineLevel="0" collapsed="false">
      <c r="A93" s="7" t="str">
        <f aca="false">Catalog!A93</f>
        <v>OPP-092</v>
      </c>
      <c r="B93" s="7" t="str">
        <f aca="false">Catalog!D93</f>
        <v>Comprehensive marketing transformation program</v>
      </c>
      <c r="C93" s="7" t="str">
        <f aca="false">Catalog!B93</f>
        <v>Strategic-Meta</v>
      </c>
      <c r="D93" s="20" t="str">
        <f aca="false">Catalog!O93</f>
        <v>Y</v>
      </c>
      <c r="E93" s="20" t="str">
        <f aca="false">Catalog!P93</f>
        <v>Y</v>
      </c>
      <c r="F93" s="20" t="str">
        <f aca="false">Catalog!Q93</f>
        <v>Y</v>
      </c>
      <c r="G93" s="20" t="str">
        <f aca="false">Catalog!R93</f>
        <v>Y</v>
      </c>
    </row>
    <row r="94" customFormat="false" ht="15" hidden="false" customHeight="true" outlineLevel="0" collapsed="false">
      <c r="A94" s="7" t="str">
        <f aca="false">Catalog!A94</f>
        <v>OPP-093</v>
      </c>
      <c r="B94" s="7" t="str">
        <f aca="false">Catalog!D94</f>
        <v>Integrate marketing function from acquisition</v>
      </c>
      <c r="C94" s="7" t="str">
        <f aca="false">Catalog!B94</f>
        <v>Strategic-Meta</v>
      </c>
      <c r="D94" s="20" t="str">
        <f aca="false">Catalog!O94</f>
        <v>Y</v>
      </c>
      <c r="E94" s="20" t="str">
        <f aca="false">Catalog!P94</f>
        <v>Y</v>
      </c>
      <c r="F94" s="20" t="str">
        <f aca="false">Catalog!Q94</f>
        <v>Y</v>
      </c>
      <c r="G94" s="20" t="str">
        <f aca="false">Catalog!R94</f>
        <v>Y</v>
      </c>
    </row>
    <row r="95" customFormat="false" ht="15" hidden="false" customHeight="true" outlineLevel="0" collapsed="false">
      <c r="A95" s="7" t="str">
        <f aca="false">Catalog!A95</f>
        <v>OPP-094</v>
      </c>
      <c r="B95" s="7" t="str">
        <f aca="false">Catalog!D95</f>
        <v>Marketing turnaround following major performance decline</v>
      </c>
      <c r="C95" s="7" t="str">
        <f aca="false">Catalog!B95</f>
        <v>Strategic-Meta</v>
      </c>
      <c r="D95" s="20" t="str">
        <f aca="false">Catalog!O95</f>
        <v>Y</v>
      </c>
      <c r="E95" s="20" t="str">
        <f aca="false">Catalog!P95</f>
        <v>Y</v>
      </c>
      <c r="F95" s="20" t="str">
        <f aca="false">Catalog!Q95</f>
        <v>Y</v>
      </c>
      <c r="G95" s="20" t="str">
        <f aca="false">Catalog!R95</f>
        <v>Y</v>
      </c>
    </row>
  </sheetData>
  <autoFilter ref="A1:G95"/>
  <conditionalFormatting sqref="D2:D95">
    <cfRule type="cellIs" priority="2" operator="equal" aboveAverage="0" equalAverage="0" bottom="0" percent="0" rank="0" text="" dxfId="14">
      <formula>"Y"</formula>
    </cfRule>
    <cfRule type="cellIs" priority="3" operator="equal" aboveAverage="0" equalAverage="0" bottom="0" percent="0" rank="0" text="" dxfId="15">
      <formula>"P"</formula>
    </cfRule>
    <cfRule type="cellIs" priority="4" operator="equal" aboveAverage="0" equalAverage="0" bottom="0" percent="0" rank="0" text="" dxfId="16">
      <formula>"N"</formula>
    </cfRule>
  </conditionalFormatting>
  <conditionalFormatting sqref="E2:E95">
    <cfRule type="cellIs" priority="5" operator="equal" aboveAverage="0" equalAverage="0" bottom="0" percent="0" rank="0" text="" dxfId="14">
      <formula>"Y"</formula>
    </cfRule>
    <cfRule type="cellIs" priority="6" operator="equal" aboveAverage="0" equalAverage="0" bottom="0" percent="0" rank="0" text="" dxfId="15">
      <formula>"P"</formula>
    </cfRule>
    <cfRule type="cellIs" priority="7" operator="equal" aboveAverage="0" equalAverage="0" bottom="0" percent="0" rank="0" text="" dxfId="16">
      <formula>"N"</formula>
    </cfRule>
  </conditionalFormatting>
  <conditionalFormatting sqref="F2:F95">
    <cfRule type="cellIs" priority="8" operator="equal" aboveAverage="0" equalAverage="0" bottom="0" percent="0" rank="0" text="" dxfId="14">
      <formula>"Y"</formula>
    </cfRule>
    <cfRule type="cellIs" priority="9" operator="equal" aboveAverage="0" equalAverage="0" bottom="0" percent="0" rank="0" text="" dxfId="15">
      <formula>"P"</formula>
    </cfRule>
    <cfRule type="cellIs" priority="10" operator="equal" aboveAverage="0" equalAverage="0" bottom="0" percent="0" rank="0" text="" dxfId="16">
      <formula>"N"</formula>
    </cfRule>
  </conditionalFormatting>
  <conditionalFormatting sqref="G2:G95">
    <cfRule type="cellIs" priority="11" operator="equal" aboveAverage="0" equalAverage="0" bottom="0" percent="0" rank="0" text="" dxfId="14">
      <formula>"Y"</formula>
    </cfRule>
    <cfRule type="cellIs" priority="12" operator="equal" aboveAverage="0" equalAverage="0" bottom="0" percent="0" rank="0" text="" dxfId="15">
      <formula>"P"</formula>
    </cfRule>
    <cfRule type="cellIs" priority="13" operator="equal" aboveAverage="0" equalAverage="0" bottom="0" percent="0" rank="0" text="" dxfId="16">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8"/>
  </cols>
  <sheetData>
    <row r="1" customFormat="false" ht="27.75" hidden="false" customHeight="true" outlineLevel="0" collapsed="false">
      <c r="A1" s="21" t="s">
        <v>964</v>
      </c>
    </row>
    <row r="3" customFormat="false" ht="15" hidden="false" customHeight="true" outlineLevel="0" collapsed="false">
      <c r="A3" s="22" t="s">
        <v>965</v>
      </c>
    </row>
    <row r="4" customFormat="false" ht="15" hidden="false" customHeight="true" outlineLevel="0" collapsed="false">
      <c r="A4" s="23" t="s">
        <v>74</v>
      </c>
      <c r="B4" s="23" t="s">
        <v>966</v>
      </c>
    </row>
    <row r="5" customFormat="false" ht="15" hidden="false" customHeight="true" outlineLevel="0" collapsed="false">
      <c r="A5" s="24" t="s">
        <v>101</v>
      </c>
      <c r="B5" s="24" t="n">
        <f aca="false">COUNTIF(Catalog!B:B,"Tactical")</f>
        <v>20</v>
      </c>
    </row>
    <row r="6" customFormat="false" ht="15" hidden="false" customHeight="true" outlineLevel="0" collapsed="false">
      <c r="A6" s="24" t="s">
        <v>293</v>
      </c>
      <c r="B6" s="24" t="n">
        <f aca="false">COUNTIF(Catalog!B:B,"Strategic-Channel")</f>
        <v>15</v>
      </c>
    </row>
    <row r="7" customFormat="false" ht="15" hidden="false" customHeight="true" outlineLevel="0" collapsed="false">
      <c r="A7" s="24" t="s">
        <v>425</v>
      </c>
      <c r="B7" s="24" t="n">
        <f aca="false">COUNTIF(Catalog!B:B,"Strategic-Capability")</f>
        <v>16</v>
      </c>
    </row>
    <row r="8" customFormat="false" ht="15" hidden="false" customHeight="true" outlineLevel="0" collapsed="false">
      <c r="A8" s="24" t="s">
        <v>562</v>
      </c>
      <c r="B8" s="24" t="n">
        <f aca="false">COUNTIF(Catalog!B:B,"Strategic-Cost")</f>
        <v>9</v>
      </c>
    </row>
    <row r="9" customFormat="false" ht="15" hidden="false" customHeight="true" outlineLevel="0" collapsed="false">
      <c r="A9" s="24" t="s">
        <v>646</v>
      </c>
      <c r="B9" s="24" t="n">
        <f aca="false">COUNTIF(Catalog!B:B,"Strategic-CX")</f>
        <v>10</v>
      </c>
    </row>
    <row r="10" customFormat="false" ht="15" hidden="false" customHeight="true" outlineLevel="0" collapsed="false">
      <c r="A10" s="24" t="s">
        <v>813</v>
      </c>
      <c r="B10" s="24" t="n">
        <f aca="false">COUNTIF(Catalog!B:B,"Strategic-Pricing")</f>
        <v>4</v>
      </c>
    </row>
    <row r="11" customFormat="false" ht="15" hidden="false" customHeight="true" outlineLevel="0" collapsed="false">
      <c r="A11" s="24" t="s">
        <v>852</v>
      </c>
      <c r="B11" s="24" t="n">
        <f aca="false">COUNTIF(Catalog!B:B,"Strategic-Measurement")</f>
        <v>5</v>
      </c>
    </row>
    <row r="12" customFormat="false" ht="15" hidden="false" customHeight="true" outlineLevel="0" collapsed="false">
      <c r="A12" s="24" t="s">
        <v>895</v>
      </c>
      <c r="B12" s="24" t="n">
        <f aca="false">COUNTIF(Catalog!B:B,"Strategic-Content")</f>
        <v>4</v>
      </c>
    </row>
    <row r="13" customFormat="false" ht="15" hidden="false" customHeight="true" outlineLevel="0" collapsed="false">
      <c r="A13" s="24" t="s">
        <v>934</v>
      </c>
      <c r="B13" s="24" t="n">
        <f aca="false">COUNTIF(Catalog!B:B,"Strategic-Meta")</f>
        <v>3</v>
      </c>
    </row>
    <row r="14" customFormat="false" ht="15" hidden="false" customHeight="true" outlineLevel="0" collapsed="false">
      <c r="A14" s="24" t="s">
        <v>740</v>
      </c>
      <c r="B14" s="24" t="n">
        <f aca="false">COUNTIF(Catalog!B:B,"Defensive")</f>
        <v>8</v>
      </c>
    </row>
    <row r="15" customFormat="false" ht="15" hidden="false" customHeight="true" outlineLevel="0" collapsed="false">
      <c r="A15" s="25" t="s">
        <v>967</v>
      </c>
      <c r="B15" s="25" t="n">
        <f aca="false">SUM(B5:B14)</f>
        <v>94</v>
      </c>
    </row>
    <row r="18" customFormat="false" ht="15" hidden="false" customHeight="true" outlineLevel="0" collapsed="false">
      <c r="A18" s="22" t="s">
        <v>968</v>
      </c>
    </row>
    <row r="19" customFormat="false" ht="15" hidden="false" customHeight="true" outlineLevel="0" collapsed="false">
      <c r="A19" s="23" t="s">
        <v>969</v>
      </c>
      <c r="B19" s="23" t="s">
        <v>966</v>
      </c>
    </row>
    <row r="20" customFormat="false" ht="15" hidden="false" customHeight="true" outlineLevel="0" collapsed="false">
      <c r="A20" s="24" t="s">
        <v>970</v>
      </c>
      <c r="B20" s="24" t="n">
        <f aca="false">COUNTIF(Catalog!H:H,"S")</f>
        <v>7</v>
      </c>
    </row>
    <row r="21" customFormat="false" ht="15" hidden="false" customHeight="true" outlineLevel="0" collapsed="false">
      <c r="A21" s="24" t="s">
        <v>971</v>
      </c>
      <c r="B21" s="24" t="n">
        <f aca="false">COUNTIF(Catalog!H:H,"M")</f>
        <v>41</v>
      </c>
    </row>
    <row r="22" customFormat="false" ht="15" hidden="false" customHeight="true" outlineLevel="0" collapsed="false">
      <c r="A22" s="24" t="s">
        <v>972</v>
      </c>
      <c r="B22" s="24" t="n">
        <f aca="false">COUNTIF(Catalog!H:H,"L")</f>
        <v>40</v>
      </c>
    </row>
    <row r="23" customFormat="false" ht="15" hidden="false" customHeight="true" outlineLevel="0" collapsed="false">
      <c r="A23" s="24" t="s">
        <v>973</v>
      </c>
      <c r="B23" s="24" t="n">
        <f aca="false">COUNTIF(Catalog!H:H,"XL")</f>
        <v>6</v>
      </c>
    </row>
    <row r="25" customFormat="false" ht="15" hidden="false" customHeight="true" outlineLevel="0" collapsed="false">
      <c r="A25" s="22" t="s">
        <v>974</v>
      </c>
    </row>
    <row r="26" customFormat="false" ht="15" hidden="false" customHeight="true" outlineLevel="0" collapsed="false">
      <c r="A26" s="23" t="s">
        <v>969</v>
      </c>
      <c r="B26" s="23" t="s">
        <v>966</v>
      </c>
    </row>
    <row r="27" customFormat="false" ht="15" hidden="false" customHeight="true" outlineLevel="0" collapsed="false">
      <c r="A27" s="24" t="s">
        <v>975</v>
      </c>
      <c r="B27" s="24" t="n">
        <f aca="false">COUNTIF(Catalog!I:I,"H")</f>
        <v>24</v>
      </c>
    </row>
    <row r="28" customFormat="false" ht="15" hidden="false" customHeight="true" outlineLevel="0" collapsed="false">
      <c r="A28" s="24" t="s">
        <v>976</v>
      </c>
      <c r="B28" s="24" t="n">
        <f aca="false">COUNTIF(Catalog!I:I,"M")</f>
        <v>60</v>
      </c>
    </row>
    <row r="29" customFormat="false" ht="15" hidden="false" customHeight="true" outlineLevel="0" collapsed="false">
      <c r="A29" s="24" t="s">
        <v>977</v>
      </c>
      <c r="B29" s="24" t="n">
        <f aca="false">COUNTIF(Catalog!I:I,"L")</f>
        <v>10</v>
      </c>
    </row>
    <row r="31" customFormat="false" ht="15" hidden="false" customHeight="true" outlineLevel="0" collapsed="false">
      <c r="A31" s="22" t="s">
        <v>978</v>
      </c>
    </row>
    <row r="32" customFormat="false" ht="15" hidden="false" customHeight="true" outlineLevel="0" collapsed="false">
      <c r="A32" s="23" t="s">
        <v>979</v>
      </c>
      <c r="B32" s="23" t="s">
        <v>966</v>
      </c>
    </row>
    <row r="33" customFormat="false" ht="15" hidden="false" customHeight="true" outlineLevel="0" collapsed="false">
      <c r="A33" s="24" t="s">
        <v>940</v>
      </c>
      <c r="B33" s="24" t="n">
        <f aca="false">COUNTIF(Catalog!N:N,"Board/CEO")</f>
        <v>2</v>
      </c>
    </row>
    <row r="34" customFormat="false" ht="15" hidden="false" customHeight="true" outlineLevel="0" collapsed="false">
      <c r="A34" s="24" t="s">
        <v>568</v>
      </c>
      <c r="B34" s="24" t="n">
        <f aca="false">COUNTIF(Catalog!N:N,"CFO")</f>
        <v>4</v>
      </c>
    </row>
    <row r="35" customFormat="false" ht="15" hidden="false" customHeight="true" outlineLevel="0" collapsed="false">
      <c r="A35" s="24" t="s">
        <v>300</v>
      </c>
      <c r="B35" s="24" t="n">
        <f aca="false">COUNTIF(Catalog!N:N,"CMO")</f>
        <v>28</v>
      </c>
    </row>
    <row r="36" customFormat="false" ht="15" hidden="false" customHeight="true" outlineLevel="0" collapsed="false">
      <c r="A36" s="24" t="s">
        <v>960</v>
      </c>
      <c r="B36" s="24" t="n">
        <f aca="false">COUNTIF(Catalog!N:N,"CMO/CEO")</f>
        <v>1</v>
      </c>
    </row>
    <row r="37" customFormat="false" ht="15" hidden="false" customHeight="true" outlineLevel="0" collapsed="false">
      <c r="A37" s="24" t="s">
        <v>819</v>
      </c>
      <c r="B37" s="24" t="n">
        <f aca="false">COUNTIF(Catalog!N:N,"CMO/CFO")</f>
        <v>1</v>
      </c>
    </row>
    <row r="38" customFormat="false" ht="15" hidden="false" customHeight="true" outlineLevel="0" collapsed="false">
      <c r="A38" s="24" t="s">
        <v>746</v>
      </c>
      <c r="B38" s="24" t="n">
        <f aca="false">COUNTIF(Catalog!N:N,"Legal/CMO")</f>
        <v>1</v>
      </c>
    </row>
    <row r="39" customFormat="false" ht="15" hidden="false" customHeight="true" outlineLevel="0" collapsed="false">
      <c r="A39" s="24" t="s">
        <v>220</v>
      </c>
      <c r="B39" s="24" t="n">
        <f aca="false">COUNTIF(Catalog!N:N,"Marketing Leadership")</f>
        <v>38</v>
      </c>
    </row>
    <row r="40" customFormat="false" ht="15" hidden="false" customHeight="true" outlineLevel="0" collapsed="false">
      <c r="A40" s="24" t="s">
        <v>110</v>
      </c>
      <c r="B40" s="24" t="n">
        <f aca="false">COUNTIF(Catalog!N:N,"Marketing Ops")</f>
        <v>19</v>
      </c>
    </row>
    <row r="43" customFormat="false" ht="15" hidden="false" customHeight="true" outlineLevel="0" collapsed="false">
      <c r="A43" s="22" t="s">
        <v>980</v>
      </c>
    </row>
    <row r="44" customFormat="false" ht="15" hidden="false" customHeight="true" outlineLevel="0" collapsed="false">
      <c r="A44" s="23" t="s">
        <v>981</v>
      </c>
      <c r="B44" s="23" t="s">
        <v>982</v>
      </c>
      <c r="C44" s="23" t="s">
        <v>983</v>
      </c>
    </row>
    <row r="45" customFormat="false" ht="15" hidden="false" customHeight="true" outlineLevel="0" collapsed="false">
      <c r="A45" s="24" t="s">
        <v>85</v>
      </c>
      <c r="B45" s="24" t="n">
        <f aca="false">COUNTIF(Catalog!O:O,"Y")</f>
        <v>91</v>
      </c>
      <c r="C45" s="24" t="n">
        <f aca="false">COUNTIF(Catalog!O:O,"P")</f>
        <v>3</v>
      </c>
    </row>
    <row r="46" customFormat="false" ht="15" hidden="false" customHeight="true" outlineLevel="0" collapsed="false">
      <c r="A46" s="24" t="s">
        <v>86</v>
      </c>
      <c r="B46" s="24" t="n">
        <f aca="false">COUNTIF(Catalog!P:P,"Y")</f>
        <v>76</v>
      </c>
      <c r="C46" s="24" t="n">
        <f aca="false">COUNTIF(Catalog!P:P,"P")</f>
        <v>16</v>
      </c>
    </row>
    <row r="47" customFormat="false" ht="15" hidden="false" customHeight="true" outlineLevel="0" collapsed="false">
      <c r="A47" s="24" t="s">
        <v>87</v>
      </c>
      <c r="B47" s="24" t="n">
        <f aca="false">COUNTIF(Catalog!Q:Q,"Y")</f>
        <v>88</v>
      </c>
      <c r="C47" s="24" t="n">
        <f aca="false">COUNTIF(Catalog!Q:Q,"P")</f>
        <v>6</v>
      </c>
    </row>
    <row r="48" customFormat="false" ht="15" hidden="false" customHeight="true" outlineLevel="0" collapsed="false">
      <c r="A48" s="24" t="s">
        <v>88</v>
      </c>
      <c r="B48" s="24" t="n">
        <f aca="false">COUNTIF(Catalog!R:R,"Y")</f>
        <v>66</v>
      </c>
      <c r="C48" s="24" t="n">
        <f aca="false">COUNTIF(Catalog!R:R,"P")</f>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0"/>
  </cols>
  <sheetData>
    <row r="1" customFormat="false" ht="27.75" hidden="false" customHeight="true" outlineLevel="0" collapsed="false">
      <c r="A1" s="21" t="s">
        <v>984</v>
      </c>
    </row>
    <row r="3" customFormat="false" ht="37.5" hidden="false" customHeight="true" outlineLevel="0" collapsed="false">
      <c r="A3" s="26" t="s">
        <v>985</v>
      </c>
      <c r="B3" s="26" t="s">
        <v>986</v>
      </c>
    </row>
    <row r="4" customFormat="false" ht="37.5" hidden="false" customHeight="true" outlineLevel="0" collapsed="false">
      <c r="A4" s="27" t="s">
        <v>73</v>
      </c>
      <c r="B4" s="7" t="s">
        <v>987</v>
      </c>
    </row>
    <row r="5" customFormat="false" ht="37.5" hidden="false" customHeight="true" outlineLevel="0" collapsed="false">
      <c r="A5" s="27" t="s">
        <v>74</v>
      </c>
      <c r="B5" s="7" t="s">
        <v>988</v>
      </c>
    </row>
    <row r="6" customFormat="false" ht="37.5" hidden="false" customHeight="true" outlineLevel="0" collapsed="false">
      <c r="A6" s="27" t="s">
        <v>75</v>
      </c>
      <c r="B6" s="7" t="s">
        <v>989</v>
      </c>
    </row>
    <row r="7" customFormat="false" ht="37.5" hidden="false" customHeight="true" outlineLevel="0" collapsed="false">
      <c r="A7" s="27" t="s">
        <v>76</v>
      </c>
      <c r="B7" s="7" t="s">
        <v>990</v>
      </c>
    </row>
    <row r="8" customFormat="false" ht="37.5" hidden="false" customHeight="true" outlineLevel="0" collapsed="false">
      <c r="A8" s="27" t="s">
        <v>77</v>
      </c>
      <c r="B8" s="7" t="s">
        <v>991</v>
      </c>
    </row>
    <row r="9" customFormat="false" ht="37.5" hidden="false" customHeight="true" outlineLevel="0" collapsed="false">
      <c r="A9" s="27" t="s">
        <v>78</v>
      </c>
      <c r="B9" s="7" t="s">
        <v>992</v>
      </c>
    </row>
    <row r="10" customFormat="false" ht="37.5" hidden="false" customHeight="true" outlineLevel="0" collapsed="false">
      <c r="A10" s="27" t="s">
        <v>79</v>
      </c>
      <c r="B10" s="7" t="s">
        <v>993</v>
      </c>
    </row>
    <row r="11" customFormat="false" ht="37.5" hidden="false" customHeight="true" outlineLevel="0" collapsed="false">
      <c r="A11" s="27" t="s">
        <v>80</v>
      </c>
      <c r="B11" s="7" t="s">
        <v>994</v>
      </c>
    </row>
    <row r="12" customFormat="false" ht="37.5" hidden="false" customHeight="true" outlineLevel="0" collapsed="false">
      <c r="A12" s="27" t="s">
        <v>81</v>
      </c>
      <c r="B12" s="7" t="s">
        <v>995</v>
      </c>
    </row>
    <row r="13" customFormat="false" ht="37.5" hidden="false" customHeight="true" outlineLevel="0" collapsed="false">
      <c r="A13" s="27" t="s">
        <v>82</v>
      </c>
      <c r="B13" s="7" t="s">
        <v>996</v>
      </c>
    </row>
    <row r="14" customFormat="false" ht="37.5" hidden="false" customHeight="true" outlineLevel="0" collapsed="false">
      <c r="A14" s="27" t="s">
        <v>83</v>
      </c>
      <c r="B14" s="7" t="s">
        <v>997</v>
      </c>
    </row>
    <row r="15" customFormat="false" ht="37.5" hidden="false" customHeight="true" outlineLevel="0" collapsed="false">
      <c r="A15" s="27" t="s">
        <v>84</v>
      </c>
      <c r="B15" s="7" t="s">
        <v>998</v>
      </c>
    </row>
    <row r="16" customFormat="false" ht="37.5" hidden="false" customHeight="true" outlineLevel="0" collapsed="false">
      <c r="A16" s="27" t="s">
        <v>35</v>
      </c>
      <c r="B16" s="7" t="s">
        <v>999</v>
      </c>
    </row>
    <row r="17" customFormat="false" ht="37.5" hidden="false" customHeight="true" outlineLevel="0" collapsed="false">
      <c r="A17" s="27" t="s">
        <v>39</v>
      </c>
      <c r="B17" s="7" t="s">
        <v>1000</v>
      </c>
    </row>
    <row r="18" customFormat="false" ht="37.5" hidden="false" customHeight="true" outlineLevel="0" collapsed="false">
      <c r="A18" s="27" t="s">
        <v>1001</v>
      </c>
      <c r="B18" s="7" t="s">
        <v>1002</v>
      </c>
    </row>
    <row r="19" customFormat="false" ht="37.5" hidden="false" customHeight="true" outlineLevel="0" collapsed="false">
      <c r="A19" s="27" t="s">
        <v>89</v>
      </c>
      <c r="B19" s="7" t="s">
        <v>1003</v>
      </c>
    </row>
    <row r="20" customFormat="false" ht="37.5" hidden="false" customHeight="true" outlineLevel="0" collapsed="false">
      <c r="A20" s="27" t="s">
        <v>90</v>
      </c>
      <c r="B20" s="7" t="s">
        <v>1004</v>
      </c>
    </row>
    <row r="21" customFormat="false" ht="37.5" hidden="false" customHeight="true" outlineLevel="0" collapsed="false">
      <c r="A21" s="27" t="s">
        <v>91</v>
      </c>
      <c r="B21" s="7" t="s">
        <v>1005</v>
      </c>
    </row>
    <row r="22" customFormat="false" ht="37.5" hidden="false" customHeight="true" outlineLevel="0" collapsed="false">
      <c r="A22" s="28" t="s">
        <v>92</v>
      </c>
      <c r="B22" s="7" t="s">
        <v>1006</v>
      </c>
    </row>
    <row r="23" customFormat="false" ht="37.5" hidden="false" customHeight="true" outlineLevel="0" collapsed="false">
      <c r="A23" s="28" t="s">
        <v>93</v>
      </c>
      <c r="B23" s="7" t="s">
        <v>1007</v>
      </c>
    </row>
    <row r="24" customFormat="false" ht="37.5" hidden="false" customHeight="true" outlineLevel="0" collapsed="false">
      <c r="A24" s="28" t="s">
        <v>94</v>
      </c>
      <c r="B24" s="7" t="s">
        <v>1008</v>
      </c>
    </row>
    <row r="25" customFormat="false" ht="37.5" hidden="false" customHeight="true" outlineLevel="0" collapsed="false">
      <c r="A25" s="28" t="s">
        <v>95</v>
      </c>
      <c r="B25" s="7" t="s">
        <v>1009</v>
      </c>
    </row>
    <row r="26" customFormat="false" ht="37.5" hidden="false" customHeight="true" outlineLevel="0" collapsed="false">
      <c r="A26" s="28" t="s">
        <v>96</v>
      </c>
      <c r="B26" s="7" t="s">
        <v>1010</v>
      </c>
    </row>
    <row r="27" customFormat="false" ht="37.5" hidden="false" customHeight="true" outlineLevel="0" collapsed="false">
      <c r="A27" s="28" t="s">
        <v>97</v>
      </c>
      <c r="B27" s="7" t="s">
        <v>1011</v>
      </c>
    </row>
    <row r="28" customFormat="false" ht="37.5" hidden="false" customHeight="true" outlineLevel="0" collapsed="false">
      <c r="A28" s="28" t="s">
        <v>98</v>
      </c>
      <c r="B28" s="7" t="s">
        <v>1012</v>
      </c>
    </row>
    <row r="29" customFormat="false" ht="37.5" hidden="false" customHeight="true" outlineLevel="0" collapsed="false">
      <c r="A29" s="28" t="s">
        <v>99</v>
      </c>
      <c r="B29" s="7" t="s">
        <v>1013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8"/>
    <col collapsed="false" customWidth="true" hidden="false" outlineLevel="0" max="3" min="3" style="0" width="60"/>
  </cols>
  <sheetData>
    <row r="1" customFormat="false" ht="27.75" hidden="false" customHeight="true" outlineLevel="0" collapsed="false">
      <c r="A1" s="29" t="s">
        <v>1014</v>
      </c>
    </row>
    <row r="3" customFormat="false" ht="15" hidden="false" customHeight="false" outlineLevel="0" collapsed="false">
      <c r="A3" s="30" t="s">
        <v>1015</v>
      </c>
    </row>
    <row r="4" customFormat="false" ht="15" hidden="false" customHeight="false" outlineLevel="0" collapsed="false">
      <c r="A4" s="26" t="s">
        <v>1016</v>
      </c>
      <c r="B4" s="26" t="s">
        <v>1</v>
      </c>
      <c r="C4" s="26" t="s">
        <v>1017</v>
      </c>
    </row>
    <row r="5" customFormat="false" ht="15" hidden="false" customHeight="false" outlineLevel="0" collapsed="false">
      <c r="A5" s="31" t="s">
        <v>1018</v>
      </c>
      <c r="B5" s="7" t="s">
        <v>1019</v>
      </c>
      <c r="C5" s="7" t="s">
        <v>1020</v>
      </c>
    </row>
    <row r="6" customFormat="false" ht="15" hidden="false" customHeight="false" outlineLevel="0" collapsed="false">
      <c r="A6" s="31" t="s">
        <v>1021</v>
      </c>
      <c r="B6" s="7" t="s">
        <v>1022</v>
      </c>
      <c r="C6" s="7" t="s">
        <v>1023</v>
      </c>
    </row>
    <row r="7" customFormat="false" ht="23.85" hidden="false" customHeight="false" outlineLevel="0" collapsed="false">
      <c r="A7" s="31" t="s">
        <v>1024</v>
      </c>
      <c r="B7" s="7" t="s">
        <v>1025</v>
      </c>
      <c r="C7" s="7" t="s">
        <v>1026</v>
      </c>
    </row>
    <row r="8" customFormat="false" ht="15" hidden="false" customHeight="false" outlineLevel="0" collapsed="false">
      <c r="A8" s="31" t="s">
        <v>1027</v>
      </c>
      <c r="B8" s="7" t="s">
        <v>1028</v>
      </c>
      <c r="C8" s="7" t="s">
        <v>1029</v>
      </c>
    </row>
    <row r="9" customFormat="false" ht="23.85" hidden="false" customHeight="false" outlineLevel="0" collapsed="false">
      <c r="A9" s="31" t="s">
        <v>1030</v>
      </c>
      <c r="B9" s="7" t="s">
        <v>1031</v>
      </c>
      <c r="C9" s="7" t="s">
        <v>1032</v>
      </c>
    </row>
    <row r="12" customFormat="false" ht="15" hidden="false" customHeight="false" outlineLevel="0" collapsed="false">
      <c r="A12" s="30" t="s">
        <v>1033</v>
      </c>
    </row>
    <row r="13" customFormat="false" ht="15" hidden="false" customHeight="false" outlineLevel="0" collapsed="false">
      <c r="A13" s="26" t="s">
        <v>1034</v>
      </c>
      <c r="B13" s="26" t="s">
        <v>1035</v>
      </c>
      <c r="C13" s="26" t="s">
        <v>1036</v>
      </c>
    </row>
    <row r="14" customFormat="false" ht="35.05" hidden="false" customHeight="false" outlineLevel="0" collapsed="false">
      <c r="A14" s="32" t="s">
        <v>118</v>
      </c>
      <c r="B14" s="7" t="s">
        <v>1037</v>
      </c>
      <c r="C14" s="7" t="s">
        <v>1038</v>
      </c>
    </row>
    <row r="15" customFormat="false" ht="23.85" hidden="false" customHeight="false" outlineLevel="0" collapsed="false">
      <c r="A15" s="33" t="s">
        <v>156</v>
      </c>
      <c r="B15" s="7" t="s">
        <v>1039</v>
      </c>
      <c r="C15" s="7" t="s">
        <v>1040</v>
      </c>
    </row>
    <row r="16" customFormat="false" ht="23.85" hidden="false" customHeight="false" outlineLevel="0" collapsed="false">
      <c r="A16" s="34" t="s">
        <v>469</v>
      </c>
      <c r="B16" s="7" t="s">
        <v>1041</v>
      </c>
      <c r="C16" s="7" t="s">
        <v>1042</v>
      </c>
    </row>
    <row r="17" customFormat="false" ht="23.85" hidden="false" customHeight="false" outlineLevel="0" collapsed="false">
      <c r="A17" s="34" t="s">
        <v>1043</v>
      </c>
      <c r="B17" s="7" t="s">
        <v>1044</v>
      </c>
      <c r="C17" s="7" t="s">
        <v>1045</v>
      </c>
    </row>
    <row r="18" customFormat="false" ht="23.85" hidden="false" customHeight="false" outlineLevel="0" collapsed="false">
      <c r="A18" s="33" t="s">
        <v>1046</v>
      </c>
      <c r="B18" s="7" t="s">
        <v>1047</v>
      </c>
      <c r="C18" s="7" t="s">
        <v>1048</v>
      </c>
    </row>
    <row r="22" customFormat="false" ht="15" hidden="false" customHeight="false" outlineLevel="0" collapsed="false">
      <c r="A22" s="30" t="s">
        <v>1049</v>
      </c>
    </row>
    <row r="23" customFormat="false" ht="15" hidden="false" customHeight="false" outlineLevel="0" collapsed="false">
      <c r="A23" s="26" t="s">
        <v>1050</v>
      </c>
      <c r="B23" s="26" t="s">
        <v>77</v>
      </c>
    </row>
    <row r="24" customFormat="false" ht="23.85" hidden="false" customHeight="false" outlineLevel="0" collapsed="false">
      <c r="A24" s="35" t="s">
        <v>117</v>
      </c>
      <c r="B24" s="7" t="s">
        <v>1051</v>
      </c>
    </row>
    <row r="25" customFormat="false" ht="23.85" hidden="false" customHeight="false" outlineLevel="0" collapsed="false">
      <c r="A25" s="35" t="s">
        <v>234</v>
      </c>
      <c r="B25" s="7" t="s">
        <v>1052</v>
      </c>
    </row>
    <row r="26" customFormat="false" ht="23.85" hidden="false" customHeight="false" outlineLevel="0" collapsed="false">
      <c r="A26" s="35" t="s">
        <v>196</v>
      </c>
      <c r="B26" s="7" t="s">
        <v>1053</v>
      </c>
    </row>
    <row r="27" customFormat="false" ht="23.85" hidden="false" customHeight="false" outlineLevel="0" collapsed="false">
      <c r="A27" s="35" t="s">
        <v>1054</v>
      </c>
      <c r="B27" s="7" t="s">
        <v>1055</v>
      </c>
    </row>
    <row r="28" customFormat="false" ht="23.85" hidden="false" customHeight="false" outlineLevel="0" collapsed="false">
      <c r="A28" s="35" t="s">
        <v>168</v>
      </c>
      <c r="B28" s="7" t="s">
        <v>1056</v>
      </c>
    </row>
    <row r="29" customFormat="false" ht="23.85" hidden="false" customHeight="false" outlineLevel="0" collapsed="false">
      <c r="A29" s="35" t="s">
        <v>1057</v>
      </c>
      <c r="B29" s="7" t="s">
        <v>1058</v>
      </c>
    </row>
    <row r="30" customFormat="false" ht="23.85" hidden="false" customHeight="false" outlineLevel="0" collapsed="false">
      <c r="A30" s="35" t="s">
        <v>1059</v>
      </c>
      <c r="B30" s="7" t="s">
        <v>1060</v>
      </c>
    </row>
    <row r="33" customFormat="false" ht="15" hidden="false" customHeight="false" outlineLevel="0" collapsed="false">
      <c r="A33" s="30" t="s">
        <v>1061</v>
      </c>
    </row>
    <row r="34" customFormat="false" ht="57.45" hidden="false" customHeight="false" outlineLevel="0" collapsed="false">
      <c r="A34" s="3" t="s">
        <v>1062</v>
      </c>
    </row>
    <row r="35" customFormat="false" ht="46.25" hidden="false" customHeight="false" outlineLevel="0" collapsed="false">
      <c r="A35" s="3" t="s">
        <v>1063</v>
      </c>
    </row>
    <row r="36" customFormat="false" ht="91" hidden="false" customHeight="false" outlineLevel="0" collapsed="false">
      <c r="A36" s="3" t="s">
        <v>1064</v>
      </c>
    </row>
    <row r="37" customFormat="false" ht="68.65" hidden="false" customHeight="false" outlineLevel="0" collapsed="false">
      <c r="A37" s="3" t="s">
        <v>1065</v>
      </c>
    </row>
    <row r="38" customFormat="false" ht="35.05" hidden="false" customHeight="false" outlineLevel="0" collapsed="false">
      <c r="A38" s="3" t="s">
        <v>1066</v>
      </c>
    </row>
    <row r="39" customFormat="false" ht="46.25" hidden="false" customHeight="false" outlineLevel="0" collapsed="false">
      <c r="A39" s="3" t="s">
        <v>1067</v>
      </c>
    </row>
    <row r="40" customFormat="false" ht="57.45" hidden="false" customHeight="false" outlineLevel="0" collapsed="false">
      <c r="A40" s="3" t="s">
        <v>1068</v>
      </c>
    </row>
    <row r="41" customFormat="false" ht="35.05" hidden="false" customHeight="false" outlineLevel="0" collapsed="false">
      <c r="A41" s="3" t="s">
        <v>1069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2026-04-22T08:38:12Z</dcterms:created>
  <dc:creator>openpyxl</dc:creator>
  <dc:description/>
  <dc:language>en-US</dc:language>
  <cp:lastModifiedBy/>
  <dcterms:modified xsi:type="dcterms:W3CDTF">2026-04-22T10:10:49Z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